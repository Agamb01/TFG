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18855" windowHeight="11760" firstSheet="2" activeTab="5"/>
  </bookViews>
  <sheets>
    <sheet name="Instrucciones" sheetId="5" r:id="rId1"/>
    <sheet name="Data processing (Immediate)" sheetId="1" r:id="rId2"/>
    <sheet name="Data processing (Non-Immediate)" sheetId="2" r:id="rId3"/>
    <sheet name="Load and store single data" sheetId="3" r:id="rId4"/>
    <sheet name="Branches" sheetId="4" r:id="rId5"/>
    <sheet name="Programa" sheetId="7" r:id="rId6"/>
  </sheets>
  <functionGroups/>
  <calcPr calcId="124519"/>
</workbook>
</file>

<file path=xl/calcChain.xml><?xml version="1.0" encoding="utf-8"?>
<calcChain xmlns="http://schemas.openxmlformats.org/spreadsheetml/2006/main">
  <c r="AK12" i="7"/>
  <c r="AK11"/>
  <c r="AK5"/>
  <c r="AK6"/>
  <c r="AK7"/>
  <c r="AK8"/>
  <c r="AK9"/>
  <c r="AK10"/>
  <c r="AK13"/>
  <c r="AK14"/>
  <c r="AK15"/>
  <c r="AK19"/>
  <c r="AK20"/>
  <c r="AK21"/>
  <c r="AK22"/>
  <c r="AK23"/>
  <c r="AK24"/>
  <c r="AK25"/>
  <c r="AK26"/>
  <c r="AK27"/>
  <c r="AK28"/>
  <c r="AK18"/>
</calcChain>
</file>

<file path=xl/sharedStrings.xml><?xml version="1.0" encoding="utf-8"?>
<sst xmlns="http://schemas.openxmlformats.org/spreadsheetml/2006/main" count="539" uniqueCount="273">
  <si>
    <t>Instruction</t>
  </si>
  <si>
    <t>Data processing (Immediate)</t>
  </si>
  <si>
    <t>Modified 12-bit immediate</t>
  </si>
  <si>
    <t>Notas</t>
  </si>
  <si>
    <t>Modified?</t>
  </si>
  <si>
    <t>i</t>
  </si>
  <si>
    <t>OP</t>
  </si>
  <si>
    <t>S</t>
  </si>
  <si>
    <t>Rn</t>
  </si>
  <si>
    <t>imm3</t>
  </si>
  <si>
    <t>Rd</t>
  </si>
  <si>
    <t>imm8</t>
  </si>
  <si>
    <t>Add, Subtract, plain 12-bit immediate</t>
  </si>
  <si>
    <t>OP2</t>
  </si>
  <si>
    <t>imm4</t>
  </si>
  <si>
    <t>Inmediato: i:imm3:imm8</t>
  </si>
  <si>
    <t>Inmediato: imm4:i:imm3:imm8</t>
  </si>
  <si>
    <t>Add</t>
  </si>
  <si>
    <t>AND</t>
  </si>
  <si>
    <t>OP(3)</t>
  </si>
  <si>
    <t>OP(2)</t>
  </si>
  <si>
    <t>OP(1)</t>
  </si>
  <si>
    <t>OP(0)</t>
  </si>
  <si>
    <t>Compare</t>
  </si>
  <si>
    <t>(Rd=="1111", S==1)</t>
  </si>
  <si>
    <t>Move</t>
  </si>
  <si>
    <t>(Rn=="1111")</t>
  </si>
  <si>
    <t>Logical AND</t>
  </si>
  <si>
    <t>Exclusive OR</t>
  </si>
  <si>
    <t>Subtract</t>
  </si>
  <si>
    <t>Logical OR</t>
  </si>
  <si>
    <t>ADD</t>
  </si>
  <si>
    <t>SUB</t>
  </si>
  <si>
    <t>ORR</t>
  </si>
  <si>
    <t>MOV</t>
  </si>
  <si>
    <t>EOR</t>
  </si>
  <si>
    <t>CMP</t>
  </si>
  <si>
    <t>Function</t>
  </si>
  <si>
    <t>OP2(1)</t>
  </si>
  <si>
    <t>OP2(0)</t>
  </si>
  <si>
    <t>Notes</t>
  </si>
  <si>
    <t>Add wide</t>
  </si>
  <si>
    <t>Subtract Wide</t>
  </si>
  <si>
    <t>SUB (immediate)</t>
  </si>
  <si>
    <t>ADD (immediate)</t>
  </si>
  <si>
    <t>Move, plain 16-bit immediate</t>
  </si>
  <si>
    <t>Move top</t>
  </si>
  <si>
    <t>MOVT</t>
  </si>
  <si>
    <t>Move wide</t>
  </si>
  <si>
    <t>Data processing (Non-Immediate)</t>
  </si>
  <si>
    <t>Data processing: Constant shift</t>
  </si>
  <si>
    <t>SBZ</t>
  </si>
  <si>
    <t xml:space="preserve">Rd </t>
  </si>
  <si>
    <t>imm2</t>
  </si>
  <si>
    <t>type</t>
  </si>
  <si>
    <t>Rm</t>
  </si>
  <si>
    <t>Inmediato: imm3:imm2</t>
  </si>
  <si>
    <t>bits "imm" y "type" para operación move?</t>
  </si>
  <si>
    <t>Load and store single data</t>
  </si>
  <si>
    <t>Size</t>
  </si>
  <si>
    <t>L</t>
  </si>
  <si>
    <t>Rt</t>
  </si>
  <si>
    <t>imm12</t>
  </si>
  <si>
    <t>L: 0=Store, 1=Load</t>
  </si>
  <si>
    <t>Rn no puede ser 1111</t>
  </si>
  <si>
    <t>Rt no puede ser "1111" o "1101"</t>
  </si>
  <si>
    <t>STR (Immediate offset)</t>
  </si>
  <si>
    <t>LDR (Immediate offset)</t>
  </si>
  <si>
    <t>X</t>
  </si>
  <si>
    <t>Load</t>
  </si>
  <si>
    <t>Store</t>
  </si>
  <si>
    <t>0X</t>
  </si>
  <si>
    <t>Not "1111"</t>
  </si>
  <si>
    <t>Branches</t>
  </si>
  <si>
    <t>Branch</t>
  </si>
  <si>
    <t>offset[21:12]</t>
  </si>
  <si>
    <t>J1</t>
  </si>
  <si>
    <t>J2</t>
  </si>
  <si>
    <t>offset[11:1]</t>
  </si>
  <si>
    <t>Conditional Branch</t>
  </si>
  <si>
    <t>cond</t>
  </si>
  <si>
    <t>offset[17:12]</t>
  </si>
  <si>
    <t>J1=offset[19]</t>
  </si>
  <si>
    <t>J2=offset[18]</t>
  </si>
  <si>
    <t>cond?</t>
  </si>
  <si>
    <t>I1=offset[23]</t>
  </si>
  <si>
    <t>I2=offset[22]</t>
  </si>
  <si>
    <t>I1</t>
  </si>
  <si>
    <t>I2</t>
  </si>
  <si>
    <r>
      <t xml:space="preserve">S= Sign bit, duplicated to </t>
    </r>
    <r>
      <rPr>
        <u/>
        <sz val="11"/>
        <color theme="1"/>
        <rFont val="Calibri"/>
        <family val="2"/>
        <scheme val="minor"/>
      </rPr>
      <t>offset[31:24] for branch</t>
    </r>
    <r>
      <rPr>
        <sz val="11"/>
        <color theme="1"/>
        <rFont val="Calibri"/>
        <family val="2"/>
        <scheme val="minor"/>
      </rPr>
      <t xml:space="preserve">, or to </t>
    </r>
    <r>
      <rPr>
        <u/>
        <sz val="11"/>
        <color theme="1"/>
        <rFont val="Calibri"/>
        <family val="2"/>
        <scheme val="minor"/>
      </rPr>
      <t>offset[31:20] for conditional branch</t>
    </r>
  </si>
  <si>
    <t>Load / Store</t>
  </si>
  <si>
    <t>S=1 activa las flags de la ALU</t>
  </si>
  <si>
    <t>Bits imm3:imm2?</t>
  </si>
  <si>
    <t>Bit SBZ?</t>
  </si>
  <si>
    <t>Bits type?</t>
  </si>
  <si>
    <t>Not 11</t>
  </si>
  <si>
    <t>S(for load): 1=sign extended, 0=zero extended</t>
  </si>
  <si>
    <t>Por defecto:</t>
  </si>
  <si>
    <t>Size=00</t>
  </si>
  <si>
    <t>S=0</t>
  </si>
  <si>
    <t>Instrucciones ocupan minimo 16bits en memoria: (offset[0]=0)</t>
  </si>
  <si>
    <t>Rn=direccion carga</t>
  </si>
  <si>
    <t>Rt=registro destino</t>
  </si>
  <si>
    <t>Ejemplos</t>
  </si>
  <si>
    <t>31 downto 16</t>
  </si>
  <si>
    <t>15 downto 0</t>
  </si>
  <si>
    <t>1111000000000000</t>
  </si>
  <si>
    <t>1111100010010001</t>
  </si>
  <si>
    <t>0010000000000000</t>
  </si>
  <si>
    <t>1111100010000010</t>
  </si>
  <si>
    <t>LDR R1, R2, #0</t>
  </si>
  <si>
    <t>ADD R1, R1, #4</t>
  </si>
  <si>
    <t>MOVT R1, #15</t>
  </si>
  <si>
    <t>SUB R1, R1, #8</t>
  </si>
  <si>
    <t>1111001000000001</t>
  </si>
  <si>
    <t>0000000100000100</t>
  </si>
  <si>
    <t>1111001010100001</t>
  </si>
  <si>
    <t>1111001011000000</t>
  </si>
  <si>
    <t>0000000100001111</t>
  </si>
  <si>
    <t>Rt = Dato</t>
  </si>
  <si>
    <t>Rn = Direccion</t>
  </si>
  <si>
    <t>MOV R1, #13</t>
  </si>
  <si>
    <t>0000000100001101</t>
  </si>
  <si>
    <t>0000000100001000</t>
  </si>
  <si>
    <t>B &lt;+768&gt;</t>
  </si>
  <si>
    <t>1001000110000000</t>
  </si>
  <si>
    <t>1111001001000000</t>
  </si>
  <si>
    <t>SUB R2, R2, #8</t>
  </si>
  <si>
    <t>1111001010100010</t>
  </si>
  <si>
    <t>0000001000001000</t>
  </si>
  <si>
    <t>1111011111111111</t>
  </si>
  <si>
    <t>1011111111110100</t>
  </si>
  <si>
    <t>B &lt;-24&gt;</t>
  </si>
  <si>
    <t>6 Instrucciones hacia atrás</t>
  </si>
  <si>
    <t>Programa</t>
  </si>
  <si>
    <t>NULA</t>
  </si>
  <si>
    <t>Registro A</t>
  </si>
  <si>
    <t>Registro B</t>
  </si>
  <si>
    <t>Registro W</t>
  </si>
  <si>
    <t>Entero</t>
  </si>
  <si>
    <t>Señales de control</t>
  </si>
  <si>
    <t>Etapa Decodificación</t>
  </si>
  <si>
    <t>4</t>
  </si>
  <si>
    <t>1</t>
  </si>
  <si>
    <t>x</t>
  </si>
  <si>
    <t>0</t>
  </si>
  <si>
    <t>2</t>
  </si>
  <si>
    <t>3</t>
  </si>
  <si>
    <t>STR R2, R3, #0</t>
  </si>
  <si>
    <t>0011000000000000</t>
  </si>
  <si>
    <t>MOV R1, #24</t>
  </si>
  <si>
    <t>MOVT R1, #0</t>
  </si>
  <si>
    <t>Dos instrucciones para mover "24" a R1</t>
  </si>
  <si>
    <t>Dos instrucciones para mover "31" a R2</t>
  </si>
  <si>
    <t>MOV R2, #31</t>
  </si>
  <si>
    <t>MOVT R2, #0</t>
  </si>
  <si>
    <t>ADD R3, R1, R2</t>
  </si>
  <si>
    <t>SUB R4, R2, R1</t>
  </si>
  <si>
    <t>B #-24</t>
  </si>
  <si>
    <t>-24</t>
  </si>
  <si>
    <t>31</t>
  </si>
  <si>
    <t>24</t>
  </si>
  <si>
    <t xml:space="preserve">Intruccion </t>
  </si>
  <si>
    <t>01000000</t>
  </si>
  <si>
    <t>00000001</t>
  </si>
  <si>
    <t>00011000</t>
  </si>
  <si>
    <t>11110010</t>
  </si>
  <si>
    <t>11000000</t>
  </si>
  <si>
    <t>00000000</t>
  </si>
  <si>
    <t>00000010</t>
  </si>
  <si>
    <t>00011111</t>
  </si>
  <si>
    <t>11101011</t>
  </si>
  <si>
    <t>00000011</t>
  </si>
  <si>
    <t>10100010</t>
  </si>
  <si>
    <t>00000100</t>
  </si>
  <si>
    <t>11110111</t>
  </si>
  <si>
    <t>11111111</t>
  </si>
  <si>
    <t>10111111</t>
  </si>
  <si>
    <t>11110100</t>
  </si>
  <si>
    <t>NOP</t>
  </si>
  <si>
    <t>Saltar 6 inst atrás</t>
  </si>
  <si>
    <t>Etapa Ejecucion</t>
  </si>
  <si>
    <t>0000</t>
  </si>
  <si>
    <t>1000</t>
  </si>
  <si>
    <t>1101</t>
  </si>
  <si>
    <t>0100</t>
  </si>
  <si>
    <t>0010</t>
  </si>
  <si>
    <t>001</t>
  </si>
  <si>
    <t>000</t>
  </si>
  <si>
    <t>011</t>
  </si>
  <si>
    <t>100</t>
  </si>
  <si>
    <t>101</t>
  </si>
  <si>
    <t>110</t>
  </si>
  <si>
    <t>111</t>
  </si>
  <si>
    <t>010</t>
  </si>
  <si>
    <t>ALUREG</t>
  </si>
  <si>
    <t>ALU16</t>
  </si>
  <si>
    <t>Add R4, R2, R1</t>
  </si>
  <si>
    <t>And R4, R2, R1</t>
  </si>
  <si>
    <t>Eor R4, R2, R1</t>
  </si>
  <si>
    <t>Orr R4, R2, R1</t>
  </si>
  <si>
    <t>Sub R4, R2, R1</t>
  </si>
  <si>
    <t>Mov R4, R1</t>
  </si>
  <si>
    <t>Cmp R2, R1</t>
  </si>
  <si>
    <t>BEQ &lt;-24&gt;</t>
  </si>
  <si>
    <t>BGT &lt;-24&gt;</t>
  </si>
  <si>
    <t>BLT &lt;-24&gt;</t>
  </si>
  <si>
    <t>N</t>
  </si>
  <si>
    <t>Z</t>
  </si>
  <si>
    <t>Opcode</t>
  </si>
  <si>
    <t>Mnemónico</t>
  </si>
  <si>
    <t>Significado</t>
  </si>
  <si>
    <t>Condición</t>
  </si>
  <si>
    <t>EQ</t>
  </si>
  <si>
    <t>Igual</t>
  </si>
  <si>
    <t>Z = 1</t>
  </si>
  <si>
    <t>NE</t>
  </si>
  <si>
    <t>Distintos</t>
  </si>
  <si>
    <t>Z = 0</t>
  </si>
  <si>
    <t>CS/HS</t>
  </si>
  <si>
    <t>Acarreo / Sobre o igual</t>
  </si>
  <si>
    <t>C = 1</t>
  </si>
  <si>
    <t>CC/LO</t>
  </si>
  <si>
    <t>Sin Acarreo / Debajo</t>
  </si>
  <si>
    <t>C = 0</t>
  </si>
  <si>
    <t>MI</t>
  </si>
  <si>
    <t>Negativo</t>
  </si>
  <si>
    <t>N = 1</t>
  </si>
  <si>
    <t>PL</t>
  </si>
  <si>
    <t>Positivo o Cero</t>
  </si>
  <si>
    <t>N = 0</t>
  </si>
  <si>
    <t>VS</t>
  </si>
  <si>
    <t>Desborde</t>
  </si>
  <si>
    <t>V = 1</t>
  </si>
  <si>
    <t>VC</t>
  </si>
  <si>
    <t>Sin desborde</t>
  </si>
  <si>
    <t>V = 0</t>
  </si>
  <si>
    <t>HI</t>
  </si>
  <si>
    <t>Sobre</t>
  </si>
  <si>
    <t>C = 1 y Z = 0</t>
  </si>
  <si>
    <t>LS</t>
  </si>
  <si>
    <t>Debajo o Igual</t>
  </si>
  <si>
    <t>C = 0 o Z = 1</t>
  </si>
  <si>
    <t>GE</t>
  </si>
  <si>
    <t>Mayor o Igual</t>
  </si>
  <si>
    <t>N = V</t>
  </si>
  <si>
    <t>LT</t>
  </si>
  <si>
    <t>Menor</t>
  </si>
  <si>
    <t>N &lt;&gt; V</t>
  </si>
  <si>
    <t>GT</t>
  </si>
  <si>
    <t>Mayor</t>
  </si>
  <si>
    <t>Z = 0 y N = V</t>
  </si>
  <si>
    <t>LE</t>
  </si>
  <si>
    <t>Menor o Igual</t>
  </si>
  <si>
    <t>Z = 1 o N &lt;&gt; V</t>
  </si>
  <si>
    <t>AL</t>
  </si>
  <si>
    <t>Sin Condición</t>
  </si>
  <si>
    <t>No Usado</t>
  </si>
  <si>
    <t>0001</t>
  </si>
  <si>
    <t>0011</t>
  </si>
  <si>
    <t>0101</t>
  </si>
  <si>
    <t>0110</t>
  </si>
  <si>
    <t>0111</t>
  </si>
  <si>
    <t>http://ciii.frc.utn.edu.ar/TecnicasDigitalesII/WebHome/ASMIntroduccionARM</t>
  </si>
  <si>
    <t>Programa 1</t>
  </si>
  <si>
    <t>Programa 2</t>
  </si>
  <si>
    <t>MOV R1, #16</t>
  </si>
  <si>
    <t>MOV R2, #32</t>
  </si>
  <si>
    <t>SUB R4, R1, R2</t>
  </si>
  <si>
    <t>ORR R5, R1, R3</t>
  </si>
  <si>
    <t>BEQ -24</t>
  </si>
  <si>
    <t>CMP R5, R3</t>
  </si>
  <si>
    <t>B &lt;-16&gt;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</si>
</sst>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Verdana"/>
      <family val="2"/>
    </font>
    <font>
      <b/>
      <sz val="11"/>
      <color rgb="FF000000"/>
      <name val="Verdana"/>
      <family val="2"/>
    </font>
    <font>
      <u/>
      <sz val="11"/>
      <color theme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DB9CC"/>
      </left>
      <right style="medium">
        <color rgb="FFADB9CC"/>
      </right>
      <top style="medium">
        <color rgb="FFADB9CC"/>
      </top>
      <bottom style="medium">
        <color rgb="FFADB9CC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1" fontId="0" fillId="0" borderId="0" xfId="0" applyNumberFormat="1" applyBorder="1"/>
    <xf numFmtId="49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4" borderId="0" xfId="0" applyFill="1" applyAlignment="1">
      <alignment horizontal="center"/>
    </xf>
    <xf numFmtId="49" fontId="0" fillId="0" borderId="0" xfId="0" applyNumberFormat="1"/>
    <xf numFmtId="49" fontId="0" fillId="0" borderId="0" xfId="0" applyNumberFormat="1" applyBorder="1"/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6" borderId="0" xfId="0" applyFill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 applyAlignment="1">
      <alignment horizontal="center" wrapText="1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49" fontId="0" fillId="0" borderId="0" xfId="0" applyNumberFormat="1" applyAlignment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49" fontId="0" fillId="0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/>
    <xf numFmtId="0" fontId="0" fillId="6" borderId="7" xfId="0" applyFill="1" applyBorder="1"/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9" borderId="0" xfId="0" applyFill="1" applyAlignment="1">
      <alignment horizontal="center"/>
    </xf>
    <xf numFmtId="0" fontId="4" fillId="10" borderId="15" xfId="0" applyFont="1" applyFill="1" applyBorder="1" applyAlignment="1">
      <alignment horizontal="left" vertical="top" wrapText="1"/>
    </xf>
    <xf numFmtId="0" fontId="5" fillId="0" borderId="0" xfId="1" applyAlignment="1" applyProtection="1"/>
    <xf numFmtId="49" fontId="3" fillId="3" borderId="15" xfId="0" applyNumberFormat="1" applyFont="1" applyFill="1" applyBorder="1" applyAlignment="1">
      <alignment horizontal="left" vertical="top" wrapText="1"/>
    </xf>
    <xf numFmtId="49" fontId="3" fillId="11" borderId="15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NumberFormat="1" applyAlignment="1"/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ciii.frc.utn.edu.ar/TecnicasDigitalesII/WebHome/ASMIntroduccionAR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2:AH18"/>
  <sheetViews>
    <sheetView workbookViewId="0">
      <selection activeCell="B2" sqref="B2:AH18"/>
    </sheetView>
  </sheetViews>
  <sheetFormatPr baseColWidth="10" defaultRowHeight="15"/>
  <cols>
    <col min="2" max="2" width="40.28515625" customWidth="1"/>
    <col min="3" max="10" width="3" style="1" bestFit="1" customWidth="1"/>
    <col min="11" max="11" width="3.5703125" style="1" bestFit="1" customWidth="1"/>
    <col min="12" max="24" width="3" style="1" bestFit="1" customWidth="1"/>
    <col min="25" max="34" width="2" style="1" bestFit="1" customWidth="1"/>
  </cols>
  <sheetData>
    <row r="2" spans="2:34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</row>
    <row r="3" spans="2:34">
      <c r="B3" s="4" t="s">
        <v>1</v>
      </c>
      <c r="C3" s="5">
        <v>1</v>
      </c>
      <c r="D3" s="5">
        <v>1</v>
      </c>
      <c r="E3" s="5">
        <v>1</v>
      </c>
      <c r="F3" s="5">
        <v>1</v>
      </c>
      <c r="G3" s="5">
        <v>0</v>
      </c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5">
        <v>0</v>
      </c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</row>
    <row r="4" spans="2:34">
      <c r="B4" s="33" t="s">
        <v>2</v>
      </c>
      <c r="C4" s="90"/>
      <c r="D4" s="90"/>
      <c r="E4" s="90"/>
      <c r="F4" s="90"/>
      <c r="G4" s="90"/>
      <c r="H4" s="35" t="s">
        <v>5</v>
      </c>
      <c r="I4" s="35">
        <v>0</v>
      </c>
      <c r="J4" s="90" t="s">
        <v>6</v>
      </c>
      <c r="K4" s="90"/>
      <c r="L4" s="90"/>
      <c r="M4" s="90"/>
      <c r="N4" s="35" t="s">
        <v>7</v>
      </c>
      <c r="O4" s="90" t="s">
        <v>8</v>
      </c>
      <c r="P4" s="90"/>
      <c r="Q4" s="90"/>
      <c r="R4" s="90"/>
      <c r="S4" s="34"/>
      <c r="T4" s="90" t="s">
        <v>9</v>
      </c>
      <c r="U4" s="90"/>
      <c r="V4" s="90"/>
      <c r="W4" s="90" t="s">
        <v>10</v>
      </c>
      <c r="X4" s="90"/>
      <c r="Y4" s="90"/>
      <c r="Z4" s="90"/>
      <c r="AA4" s="90" t="s">
        <v>11</v>
      </c>
      <c r="AB4" s="90"/>
      <c r="AC4" s="90"/>
      <c r="AD4" s="90"/>
      <c r="AE4" s="90"/>
      <c r="AF4" s="90"/>
      <c r="AG4" s="90"/>
      <c r="AH4" s="90"/>
    </row>
    <row r="5" spans="2:34">
      <c r="B5" t="s">
        <v>12</v>
      </c>
      <c r="C5" s="88"/>
      <c r="D5" s="88"/>
      <c r="E5" s="88"/>
      <c r="F5" s="88"/>
      <c r="G5" s="88"/>
      <c r="H5" s="1" t="s">
        <v>5</v>
      </c>
      <c r="I5" s="1">
        <v>1</v>
      </c>
      <c r="J5" s="1">
        <v>0</v>
      </c>
      <c r="K5" s="1" t="s">
        <v>6</v>
      </c>
      <c r="L5" s="1">
        <v>0</v>
      </c>
      <c r="M5" s="88" t="s">
        <v>13</v>
      </c>
      <c r="N5" s="88"/>
      <c r="O5" s="88" t="s">
        <v>8</v>
      </c>
      <c r="P5" s="88"/>
      <c r="Q5" s="88"/>
      <c r="R5" s="88"/>
      <c r="S5" s="88"/>
      <c r="T5" s="88" t="s">
        <v>9</v>
      </c>
      <c r="U5" s="88"/>
      <c r="V5" s="88"/>
      <c r="W5" s="88" t="s">
        <v>10</v>
      </c>
      <c r="X5" s="88"/>
      <c r="Y5" s="88"/>
      <c r="Z5" s="88"/>
      <c r="AA5" s="88" t="s">
        <v>11</v>
      </c>
      <c r="AB5" s="88"/>
      <c r="AC5" s="88"/>
      <c r="AD5" s="88"/>
      <c r="AE5" s="88"/>
      <c r="AF5" s="88"/>
      <c r="AG5" s="88"/>
      <c r="AH5" s="88"/>
    </row>
    <row r="6" spans="2:34">
      <c r="B6" t="s">
        <v>45</v>
      </c>
      <c r="C6" s="88"/>
      <c r="D6" s="88"/>
      <c r="E6" s="88"/>
      <c r="F6" s="88"/>
      <c r="G6" s="88"/>
      <c r="H6" s="1" t="s">
        <v>5</v>
      </c>
      <c r="I6" s="1">
        <v>1</v>
      </c>
      <c r="J6" s="1">
        <v>0</v>
      </c>
      <c r="K6" s="1" t="s">
        <v>6</v>
      </c>
      <c r="L6" s="1">
        <v>1</v>
      </c>
      <c r="M6" s="88" t="s">
        <v>13</v>
      </c>
      <c r="N6" s="88"/>
      <c r="O6" s="88" t="s">
        <v>14</v>
      </c>
      <c r="P6" s="88"/>
      <c r="Q6" s="88"/>
      <c r="R6" s="88"/>
      <c r="S6" s="88"/>
      <c r="T6" s="88" t="s">
        <v>9</v>
      </c>
      <c r="U6" s="88"/>
      <c r="V6" s="88"/>
      <c r="W6" s="88" t="s">
        <v>10</v>
      </c>
      <c r="X6" s="88"/>
      <c r="Y6" s="88"/>
      <c r="Z6" s="88"/>
      <c r="AA6" s="88" t="s">
        <v>11</v>
      </c>
      <c r="AB6" s="88"/>
      <c r="AC6" s="88"/>
      <c r="AD6" s="88"/>
      <c r="AE6" s="88"/>
      <c r="AF6" s="88"/>
      <c r="AG6" s="88"/>
      <c r="AH6" s="88"/>
    </row>
    <row r="7" spans="2:34"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spans="2:34">
      <c r="B8" s="4" t="s">
        <v>49</v>
      </c>
      <c r="C8" s="5">
        <v>1</v>
      </c>
      <c r="D8" s="5">
        <v>1</v>
      </c>
      <c r="E8" s="5">
        <v>1</v>
      </c>
      <c r="F8" s="5"/>
      <c r="G8" s="5">
        <v>1</v>
      </c>
      <c r="H8" s="5">
        <v>0</v>
      </c>
      <c r="I8" s="5">
        <v>1</v>
      </c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</row>
    <row r="9" spans="2:34">
      <c r="B9" t="s">
        <v>50</v>
      </c>
      <c r="C9" s="88"/>
      <c r="D9" s="88"/>
      <c r="E9" s="88"/>
      <c r="F9" s="1">
        <v>0</v>
      </c>
      <c r="G9" s="88"/>
      <c r="H9" s="88"/>
      <c r="I9" s="88"/>
      <c r="J9" s="88" t="s">
        <v>6</v>
      </c>
      <c r="K9" s="88"/>
      <c r="L9" s="88"/>
      <c r="M9" s="88"/>
      <c r="N9" s="1" t="s">
        <v>7</v>
      </c>
      <c r="O9" s="88" t="s">
        <v>8</v>
      </c>
      <c r="P9" s="88"/>
      <c r="Q9" s="88"/>
      <c r="R9" s="88"/>
      <c r="S9" s="1" t="s">
        <v>51</v>
      </c>
      <c r="T9" s="88" t="s">
        <v>9</v>
      </c>
      <c r="U9" s="88"/>
      <c r="V9" s="88"/>
      <c r="W9" s="88" t="s">
        <v>52</v>
      </c>
      <c r="X9" s="88"/>
      <c r="Y9" s="88"/>
      <c r="Z9" s="88"/>
      <c r="AA9" s="88" t="s">
        <v>53</v>
      </c>
      <c r="AB9" s="88"/>
      <c r="AC9" s="88" t="s">
        <v>54</v>
      </c>
      <c r="AD9" s="88"/>
      <c r="AE9" s="88" t="s">
        <v>55</v>
      </c>
      <c r="AF9" s="88"/>
      <c r="AG9" s="88"/>
      <c r="AH9" s="88"/>
    </row>
    <row r="11" spans="2:34">
      <c r="B11" s="4" t="s">
        <v>58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0</v>
      </c>
      <c r="I11" s="5">
        <v>0</v>
      </c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</row>
    <row r="12" spans="2:34">
      <c r="B12" t="s">
        <v>50</v>
      </c>
      <c r="C12" s="88"/>
      <c r="D12" s="88"/>
      <c r="E12" s="88"/>
      <c r="F12" s="88"/>
      <c r="G12" s="88"/>
      <c r="H12" s="88"/>
      <c r="I12" s="88"/>
      <c r="J12" s="1" t="s">
        <v>7</v>
      </c>
      <c r="K12" s="1">
        <v>1</v>
      </c>
      <c r="L12" s="88" t="s">
        <v>59</v>
      </c>
      <c r="M12" s="88"/>
      <c r="N12" s="1" t="s">
        <v>60</v>
      </c>
      <c r="O12" s="88" t="s">
        <v>8</v>
      </c>
      <c r="P12" s="88"/>
      <c r="Q12" s="88"/>
      <c r="R12" s="88"/>
      <c r="S12" s="88" t="s">
        <v>61</v>
      </c>
      <c r="T12" s="88"/>
      <c r="U12" s="88"/>
      <c r="V12" s="88"/>
      <c r="W12" s="88" t="s">
        <v>62</v>
      </c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</row>
    <row r="13" spans="2:34">
      <c r="B13" s="8" t="s">
        <v>67</v>
      </c>
      <c r="C13" s="88"/>
      <c r="D13" s="88"/>
      <c r="E13" s="88"/>
      <c r="F13" s="88"/>
      <c r="G13" s="88"/>
      <c r="H13" s="88"/>
      <c r="I13" s="88"/>
      <c r="J13" s="1" t="s">
        <v>68</v>
      </c>
      <c r="K13" s="88"/>
      <c r="L13" s="1">
        <v>0</v>
      </c>
      <c r="M13" s="1" t="s">
        <v>68</v>
      </c>
      <c r="N13" s="1">
        <v>1</v>
      </c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</row>
    <row r="14" spans="2:34">
      <c r="B14" s="8" t="s">
        <v>66</v>
      </c>
      <c r="C14" s="88"/>
      <c r="D14" s="88"/>
      <c r="E14" s="88"/>
      <c r="F14" s="88"/>
      <c r="G14" s="88"/>
      <c r="H14" s="88"/>
      <c r="I14" s="88"/>
      <c r="J14" s="1">
        <v>0</v>
      </c>
      <c r="K14" s="88"/>
      <c r="L14" s="1">
        <v>1</v>
      </c>
      <c r="M14" s="1">
        <v>1</v>
      </c>
      <c r="N14" s="1">
        <v>0</v>
      </c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</row>
    <row r="16" spans="2:34">
      <c r="B16" s="4" t="s">
        <v>73</v>
      </c>
      <c r="C16" s="5">
        <v>1</v>
      </c>
      <c r="D16" s="5">
        <v>1</v>
      </c>
      <c r="E16" s="5">
        <v>1</v>
      </c>
      <c r="F16" s="5">
        <v>1</v>
      </c>
      <c r="G16" s="5">
        <v>0</v>
      </c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5">
        <v>1</v>
      </c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</row>
    <row r="17" spans="2:34">
      <c r="B17" t="s">
        <v>74</v>
      </c>
      <c r="C17" s="88"/>
      <c r="D17" s="88"/>
      <c r="E17" s="88"/>
      <c r="F17" s="88"/>
      <c r="G17" s="88"/>
      <c r="H17" s="1" t="s">
        <v>7</v>
      </c>
      <c r="I17" s="88" t="s">
        <v>75</v>
      </c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1">
        <v>0</v>
      </c>
      <c r="U17" s="1" t="s">
        <v>87</v>
      </c>
      <c r="V17" s="1">
        <v>1</v>
      </c>
      <c r="W17" s="1" t="s">
        <v>88</v>
      </c>
      <c r="X17" s="88" t="s">
        <v>78</v>
      </c>
      <c r="Y17" s="88"/>
      <c r="Z17" s="88"/>
      <c r="AA17" s="88"/>
      <c r="AB17" s="88"/>
      <c r="AC17" s="88"/>
      <c r="AD17" s="88"/>
      <c r="AE17" s="88"/>
      <c r="AF17" s="88"/>
      <c r="AG17" s="88"/>
      <c r="AH17" s="88"/>
    </row>
    <row r="18" spans="2:34">
      <c r="B18" s="8" t="s">
        <v>79</v>
      </c>
      <c r="C18" s="88"/>
      <c r="D18" s="88"/>
      <c r="E18" s="88"/>
      <c r="F18" s="88"/>
      <c r="G18" s="88"/>
      <c r="H18" s="1" t="s">
        <v>7</v>
      </c>
      <c r="I18" s="88" t="s">
        <v>80</v>
      </c>
      <c r="J18" s="88"/>
      <c r="K18" s="88"/>
      <c r="L18" s="88"/>
      <c r="M18" s="88" t="s">
        <v>81</v>
      </c>
      <c r="N18" s="88"/>
      <c r="O18" s="88"/>
      <c r="P18" s="88"/>
      <c r="Q18" s="88"/>
      <c r="R18" s="88"/>
      <c r="S18" s="88"/>
      <c r="T18" s="1">
        <v>0</v>
      </c>
      <c r="U18" s="1" t="s">
        <v>76</v>
      </c>
      <c r="V18" s="1">
        <v>0</v>
      </c>
      <c r="W18" s="1" t="s">
        <v>77</v>
      </c>
      <c r="X18" s="88" t="s">
        <v>78</v>
      </c>
      <c r="Y18" s="88"/>
      <c r="Z18" s="88"/>
      <c r="AA18" s="88"/>
      <c r="AB18" s="88"/>
      <c r="AC18" s="88"/>
      <c r="AD18" s="88"/>
      <c r="AE18" s="88"/>
      <c r="AF18" s="88"/>
      <c r="AG18" s="88"/>
      <c r="AH18" s="88"/>
    </row>
  </sheetData>
  <mergeCells count="49">
    <mergeCell ref="C5:G6"/>
    <mergeCell ref="C4:G4"/>
    <mergeCell ref="S5:S6"/>
    <mergeCell ref="C9:E9"/>
    <mergeCell ref="G9:I9"/>
    <mergeCell ref="J9:M9"/>
    <mergeCell ref="M5:N5"/>
    <mergeCell ref="O5:R5"/>
    <mergeCell ref="J8:AH8"/>
    <mergeCell ref="T5:V5"/>
    <mergeCell ref="W5:Z5"/>
    <mergeCell ref="AA5:AH5"/>
    <mergeCell ref="M6:N6"/>
    <mergeCell ref="O6:R6"/>
    <mergeCell ref="T6:V6"/>
    <mergeCell ref="W6:Z6"/>
    <mergeCell ref="T9:V9"/>
    <mergeCell ref="H16:R16"/>
    <mergeCell ref="T16:AH16"/>
    <mergeCell ref="O9:R9"/>
    <mergeCell ref="S13:V14"/>
    <mergeCell ref="W13:AH14"/>
    <mergeCell ref="W9:Z9"/>
    <mergeCell ref="O12:R12"/>
    <mergeCell ref="S12:V12"/>
    <mergeCell ref="W12:AH12"/>
    <mergeCell ref="K13:K14"/>
    <mergeCell ref="O13:R14"/>
    <mergeCell ref="AA9:AB9"/>
    <mergeCell ref="AC9:AD9"/>
    <mergeCell ref="AE9:AH9"/>
    <mergeCell ref="M18:R18"/>
    <mergeCell ref="X18:AH18"/>
    <mergeCell ref="J11:AH11"/>
    <mergeCell ref="L12:M12"/>
    <mergeCell ref="C17:G18"/>
    <mergeCell ref="I17:R17"/>
    <mergeCell ref="S17:S18"/>
    <mergeCell ref="X17:AH17"/>
    <mergeCell ref="I18:L18"/>
    <mergeCell ref="C12:I14"/>
    <mergeCell ref="AA6:AH6"/>
    <mergeCell ref="H3:R3"/>
    <mergeCell ref="T3:AH3"/>
    <mergeCell ref="J4:M4"/>
    <mergeCell ref="O4:R4"/>
    <mergeCell ref="T4:V4"/>
    <mergeCell ref="W4:Z4"/>
    <mergeCell ref="AA4:AH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2:AW43"/>
  <sheetViews>
    <sheetView workbookViewId="0">
      <selection activeCell="O5" sqref="O5:R5"/>
    </sheetView>
  </sheetViews>
  <sheetFormatPr baseColWidth="10" defaultRowHeight="15"/>
  <cols>
    <col min="2" max="2" width="34.5703125" bestFit="1" customWidth="1"/>
    <col min="3" max="10" width="3" style="1" bestFit="1" customWidth="1"/>
    <col min="11" max="11" width="3.5703125" style="1" bestFit="1" customWidth="1"/>
    <col min="12" max="23" width="3" style="1" bestFit="1" customWidth="1"/>
    <col min="24" max="34" width="3" style="1" customWidth="1"/>
    <col min="35" max="36" width="17.140625" bestFit="1" customWidth="1"/>
    <col min="38" max="38" width="14.28515625" customWidth="1"/>
    <col min="39" max="39" width="16.28515625" customWidth="1"/>
    <col min="40" max="40" width="6.42578125" customWidth="1"/>
    <col min="41" max="42" width="7" bestFit="1" customWidth="1"/>
    <col min="43" max="43" width="6" bestFit="1" customWidth="1"/>
    <col min="44" max="44" width="16.5703125" bestFit="1" customWidth="1"/>
    <col min="45" max="45" width="6" style="1" bestFit="1" customWidth="1"/>
    <col min="46" max="47" width="7" style="1" bestFit="1" customWidth="1"/>
    <col min="48" max="48" width="6" style="1" bestFit="1" customWidth="1"/>
  </cols>
  <sheetData>
    <row r="2" spans="2:44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  <c r="AJ2" t="s">
        <v>3</v>
      </c>
      <c r="AN2" t="s">
        <v>195</v>
      </c>
    </row>
    <row r="3" spans="2:44">
      <c r="B3" s="4" t="s">
        <v>1</v>
      </c>
      <c r="C3" s="5">
        <v>1</v>
      </c>
      <c r="D3" s="5">
        <v>1</v>
      </c>
      <c r="E3" s="5">
        <v>1</v>
      </c>
      <c r="F3" s="5">
        <v>1</v>
      </c>
      <c r="G3" s="5">
        <v>0</v>
      </c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5">
        <v>0</v>
      </c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N3" s="8" t="s">
        <v>31</v>
      </c>
      <c r="AO3" s="29" t="s">
        <v>183</v>
      </c>
      <c r="AP3" s="29" t="s">
        <v>188</v>
      </c>
    </row>
    <row r="4" spans="2:44">
      <c r="B4" s="33" t="s">
        <v>2</v>
      </c>
      <c r="C4" s="90"/>
      <c r="D4" s="90"/>
      <c r="E4" s="90"/>
      <c r="F4" s="90"/>
      <c r="G4" s="90"/>
      <c r="H4" s="35" t="s">
        <v>5</v>
      </c>
      <c r="I4" s="35">
        <v>0</v>
      </c>
      <c r="J4" s="90" t="s">
        <v>6</v>
      </c>
      <c r="K4" s="90"/>
      <c r="L4" s="90"/>
      <c r="M4" s="90"/>
      <c r="N4" s="35" t="s">
        <v>7</v>
      </c>
      <c r="O4" s="90" t="s">
        <v>8</v>
      </c>
      <c r="P4" s="90"/>
      <c r="Q4" s="90"/>
      <c r="R4" s="90"/>
      <c r="S4" s="35"/>
      <c r="T4" s="90" t="s">
        <v>9</v>
      </c>
      <c r="U4" s="90"/>
      <c r="V4" s="90"/>
      <c r="W4" s="90" t="s">
        <v>10</v>
      </c>
      <c r="X4" s="90"/>
      <c r="Y4" s="90"/>
      <c r="Z4" s="90"/>
      <c r="AA4" s="90" t="s">
        <v>11</v>
      </c>
      <c r="AB4" s="90"/>
      <c r="AC4" s="90"/>
      <c r="AD4" s="90"/>
      <c r="AE4" s="90"/>
      <c r="AF4" s="90"/>
      <c r="AG4" s="90"/>
      <c r="AH4" s="90"/>
      <c r="AJ4" t="s">
        <v>4</v>
      </c>
      <c r="AK4" t="s">
        <v>15</v>
      </c>
      <c r="AN4" s="8" t="s">
        <v>18</v>
      </c>
      <c r="AO4" s="29" t="s">
        <v>182</v>
      </c>
      <c r="AP4" s="29" t="s">
        <v>190</v>
      </c>
    </row>
    <row r="5" spans="2:44">
      <c r="B5" t="s">
        <v>12</v>
      </c>
      <c r="C5" s="88"/>
      <c r="D5" s="88"/>
      <c r="E5" s="88"/>
      <c r="F5" s="88"/>
      <c r="G5" s="88"/>
      <c r="H5" s="1" t="s">
        <v>5</v>
      </c>
      <c r="I5" s="1">
        <v>1</v>
      </c>
      <c r="J5" s="1">
        <v>0</v>
      </c>
      <c r="K5" s="1" t="s">
        <v>6</v>
      </c>
      <c r="L5" s="1">
        <v>0</v>
      </c>
      <c r="M5" s="88" t="s">
        <v>13</v>
      </c>
      <c r="N5" s="88"/>
      <c r="O5" s="94" t="s">
        <v>8</v>
      </c>
      <c r="P5" s="94"/>
      <c r="Q5" s="94"/>
      <c r="R5" s="94"/>
      <c r="S5" s="88"/>
      <c r="T5" s="88" t="s">
        <v>9</v>
      </c>
      <c r="U5" s="88"/>
      <c r="V5" s="88"/>
      <c r="W5" s="88" t="s">
        <v>10</v>
      </c>
      <c r="X5" s="88"/>
      <c r="Y5" s="88"/>
      <c r="Z5" s="88"/>
      <c r="AA5" s="88" t="s">
        <v>11</v>
      </c>
      <c r="AB5" s="88"/>
      <c r="AC5" s="88"/>
      <c r="AD5" s="88"/>
      <c r="AE5" s="88"/>
      <c r="AF5" s="88"/>
      <c r="AG5" s="88"/>
      <c r="AH5" s="88"/>
      <c r="AK5" t="s">
        <v>15</v>
      </c>
      <c r="AN5" s="8" t="s">
        <v>36</v>
      </c>
      <c r="AO5" s="29" t="s">
        <v>184</v>
      </c>
      <c r="AP5" s="29" t="s">
        <v>193</v>
      </c>
    </row>
    <row r="6" spans="2:44">
      <c r="B6" t="s">
        <v>45</v>
      </c>
      <c r="C6" s="88"/>
      <c r="D6" s="88"/>
      <c r="E6" s="88"/>
      <c r="F6" s="88"/>
      <c r="G6" s="88"/>
      <c r="H6" s="1" t="s">
        <v>5</v>
      </c>
      <c r="I6" s="1">
        <v>1</v>
      </c>
      <c r="J6" s="1">
        <v>0</v>
      </c>
      <c r="K6" s="1" t="s">
        <v>6</v>
      </c>
      <c r="L6" s="1">
        <v>1</v>
      </c>
      <c r="M6" s="88" t="s">
        <v>13</v>
      </c>
      <c r="N6" s="88"/>
      <c r="O6" s="88" t="s">
        <v>14</v>
      </c>
      <c r="P6" s="88"/>
      <c r="Q6" s="88"/>
      <c r="R6" s="88"/>
      <c r="S6" s="88"/>
      <c r="T6" s="88" t="s">
        <v>9</v>
      </c>
      <c r="U6" s="88"/>
      <c r="V6" s="88"/>
      <c r="W6" s="88" t="s">
        <v>10</v>
      </c>
      <c r="X6" s="88"/>
      <c r="Y6" s="88"/>
      <c r="Z6" s="88"/>
      <c r="AA6" s="88" t="s">
        <v>11</v>
      </c>
      <c r="AB6" s="88"/>
      <c r="AC6" s="88"/>
      <c r="AD6" s="88"/>
      <c r="AE6" s="88"/>
      <c r="AF6" s="88"/>
      <c r="AG6" s="88"/>
      <c r="AH6" s="88"/>
      <c r="AK6" t="s">
        <v>16</v>
      </c>
      <c r="AN6" s="8" t="s">
        <v>35</v>
      </c>
      <c r="AO6" s="29" t="s">
        <v>185</v>
      </c>
      <c r="AP6" s="29" t="s">
        <v>192</v>
      </c>
    </row>
    <row r="7" spans="2:44">
      <c r="O7" s="2"/>
      <c r="P7" s="2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J7" t="s">
        <v>91</v>
      </c>
      <c r="AN7" s="8" t="s">
        <v>34</v>
      </c>
      <c r="AO7" s="29" t="s">
        <v>186</v>
      </c>
      <c r="AP7" s="29" t="s">
        <v>194</v>
      </c>
    </row>
    <row r="8" spans="2:44">
      <c r="O8" s="2"/>
      <c r="P8" s="2"/>
      <c r="AN8" s="8" t="s">
        <v>33</v>
      </c>
      <c r="AO8" s="29" t="s">
        <v>186</v>
      </c>
      <c r="AP8" s="29" t="s">
        <v>191</v>
      </c>
    </row>
    <row r="9" spans="2:44">
      <c r="O9" s="2"/>
      <c r="P9" s="2"/>
      <c r="AN9" s="8" t="s">
        <v>32</v>
      </c>
      <c r="AO9" s="29" t="s">
        <v>184</v>
      </c>
      <c r="AP9" s="29" t="s">
        <v>187</v>
      </c>
    </row>
    <row r="10" spans="2:44">
      <c r="O10" s="2"/>
      <c r="P10" s="2"/>
      <c r="AN10" s="71" t="s">
        <v>196</v>
      </c>
    </row>
    <row r="11" spans="2:44">
      <c r="O11" s="2"/>
      <c r="P11" s="2"/>
      <c r="AN11" t="s">
        <v>34</v>
      </c>
      <c r="AO11" s="29" t="s">
        <v>188</v>
      </c>
      <c r="AP11" s="29" t="s">
        <v>194</v>
      </c>
    </row>
    <row r="12" spans="2:44">
      <c r="B12" t="s">
        <v>103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t="s">
        <v>104</v>
      </c>
      <c r="AJ12" s="8" t="s">
        <v>105</v>
      </c>
      <c r="AN12" t="s">
        <v>47</v>
      </c>
      <c r="AO12" s="29" t="s">
        <v>190</v>
      </c>
      <c r="AP12" s="29" t="s">
        <v>189</v>
      </c>
    </row>
    <row r="13" spans="2:44" ht="15.75" thickBot="1">
      <c r="C13" s="6">
        <v>1</v>
      </c>
      <c r="D13" s="6">
        <v>1</v>
      </c>
      <c r="E13" s="6">
        <v>1</v>
      </c>
      <c r="F13" s="6">
        <v>1</v>
      </c>
      <c r="G13" s="6">
        <v>0</v>
      </c>
      <c r="H13" s="30"/>
      <c r="I13" s="31"/>
      <c r="J13" s="2"/>
      <c r="K13" s="2"/>
      <c r="L13" s="2"/>
      <c r="M13" s="2"/>
      <c r="N13" s="2"/>
      <c r="O13" s="27"/>
      <c r="P13" s="27"/>
      <c r="Q13" s="27"/>
      <c r="R13" s="27"/>
      <c r="S13" s="6">
        <v>0</v>
      </c>
      <c r="T13" s="30"/>
      <c r="U13" s="30"/>
      <c r="V13" s="30"/>
      <c r="W13" s="25"/>
      <c r="X13" s="25"/>
      <c r="Y13" s="25"/>
      <c r="Z13" s="25"/>
      <c r="AA13" s="30"/>
      <c r="AB13" s="30"/>
      <c r="AC13" s="30"/>
      <c r="AD13" s="30"/>
      <c r="AE13" s="30"/>
      <c r="AF13" s="30"/>
      <c r="AG13" s="30"/>
      <c r="AH13" s="30"/>
      <c r="AI13" s="28"/>
      <c r="AJ13" s="29"/>
    </row>
    <row r="14" spans="2:44" ht="15.75" thickBot="1">
      <c r="C14" s="2"/>
      <c r="D14" s="2"/>
      <c r="E14" s="2"/>
      <c r="F14" s="2"/>
      <c r="G14" s="2"/>
      <c r="H14" s="31"/>
      <c r="I14" s="31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8"/>
      <c r="AJ14" s="29"/>
      <c r="AL14" s="91" t="s">
        <v>1</v>
      </c>
      <c r="AM14" s="92"/>
      <c r="AN14" s="92"/>
      <c r="AO14" s="92"/>
      <c r="AP14" s="92"/>
      <c r="AQ14" s="92"/>
      <c r="AR14" s="93"/>
    </row>
    <row r="15" spans="2:44" ht="15.75" thickBot="1">
      <c r="B15" t="s">
        <v>111</v>
      </c>
      <c r="C15" s="6">
        <v>1</v>
      </c>
      <c r="D15" s="6">
        <v>1</v>
      </c>
      <c r="E15" s="6">
        <v>1</v>
      </c>
      <c r="F15" s="6">
        <v>1</v>
      </c>
      <c r="G15" s="6">
        <v>0</v>
      </c>
      <c r="H15" s="30">
        <v>0</v>
      </c>
      <c r="I15" s="31">
        <v>1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7">
        <v>0</v>
      </c>
      <c r="P15" s="27">
        <v>0</v>
      </c>
      <c r="Q15" s="27">
        <v>0</v>
      </c>
      <c r="R15" s="27">
        <v>1</v>
      </c>
      <c r="S15" s="6">
        <v>0</v>
      </c>
      <c r="T15" s="30">
        <v>0</v>
      </c>
      <c r="U15" s="30">
        <v>0</v>
      </c>
      <c r="V15" s="30">
        <v>0</v>
      </c>
      <c r="W15" s="25">
        <v>0</v>
      </c>
      <c r="X15" s="25">
        <v>0</v>
      </c>
      <c r="Y15" s="25">
        <v>0</v>
      </c>
      <c r="Z15" s="25">
        <v>1</v>
      </c>
      <c r="AA15" s="30">
        <v>0</v>
      </c>
      <c r="AB15" s="30">
        <v>0</v>
      </c>
      <c r="AC15" s="30">
        <v>0</v>
      </c>
      <c r="AD15" s="30">
        <v>0</v>
      </c>
      <c r="AE15" s="30">
        <v>0</v>
      </c>
      <c r="AF15" s="30">
        <v>1</v>
      </c>
      <c r="AG15" s="30">
        <v>0</v>
      </c>
      <c r="AH15" s="30">
        <v>0</v>
      </c>
      <c r="AI15" s="28" t="s">
        <v>114</v>
      </c>
      <c r="AJ15" s="29" t="s">
        <v>115</v>
      </c>
      <c r="AL15" s="17" t="s">
        <v>37</v>
      </c>
      <c r="AM15" s="18" t="s">
        <v>0</v>
      </c>
      <c r="AN15" s="19" t="s">
        <v>19</v>
      </c>
      <c r="AO15" s="19" t="s">
        <v>20</v>
      </c>
      <c r="AP15" s="19" t="s">
        <v>21</v>
      </c>
      <c r="AQ15" s="19" t="s">
        <v>22</v>
      </c>
      <c r="AR15" s="20" t="s">
        <v>40</v>
      </c>
    </row>
    <row r="16" spans="2:44">
      <c r="B16" t="s">
        <v>113</v>
      </c>
      <c r="C16" s="6">
        <v>1</v>
      </c>
      <c r="D16" s="6">
        <v>1</v>
      </c>
      <c r="E16" s="6">
        <v>1</v>
      </c>
      <c r="F16" s="6">
        <v>1</v>
      </c>
      <c r="G16" s="6">
        <v>0</v>
      </c>
      <c r="H16" s="30">
        <v>0</v>
      </c>
      <c r="I16" s="31">
        <v>1</v>
      </c>
      <c r="J16" s="2">
        <v>0</v>
      </c>
      <c r="K16" s="2">
        <v>1</v>
      </c>
      <c r="L16" s="2">
        <v>0</v>
      </c>
      <c r="M16" s="2">
        <v>1</v>
      </c>
      <c r="N16" s="2">
        <v>0</v>
      </c>
      <c r="O16" s="27">
        <v>0</v>
      </c>
      <c r="P16" s="27">
        <v>0</v>
      </c>
      <c r="Q16" s="27">
        <v>0</v>
      </c>
      <c r="R16" s="27">
        <v>1</v>
      </c>
      <c r="S16" s="6">
        <v>0</v>
      </c>
      <c r="T16" s="30">
        <v>0</v>
      </c>
      <c r="U16" s="30">
        <v>0</v>
      </c>
      <c r="V16" s="30">
        <v>0</v>
      </c>
      <c r="W16" s="25">
        <v>0</v>
      </c>
      <c r="X16" s="25">
        <v>0</v>
      </c>
      <c r="Y16" s="25">
        <v>0</v>
      </c>
      <c r="Z16" s="25">
        <v>1</v>
      </c>
      <c r="AA16" s="30">
        <v>0</v>
      </c>
      <c r="AB16" s="30">
        <v>0</v>
      </c>
      <c r="AC16" s="30">
        <v>0</v>
      </c>
      <c r="AD16" s="30">
        <v>0</v>
      </c>
      <c r="AE16" s="30">
        <v>1</v>
      </c>
      <c r="AF16" s="30">
        <v>0</v>
      </c>
      <c r="AG16" s="30">
        <v>0</v>
      </c>
      <c r="AH16" s="30">
        <v>0</v>
      </c>
      <c r="AI16" s="28" t="s">
        <v>116</v>
      </c>
      <c r="AJ16" s="29" t="s">
        <v>123</v>
      </c>
      <c r="AL16" s="7" t="s">
        <v>17</v>
      </c>
      <c r="AM16" s="8" t="s">
        <v>31</v>
      </c>
      <c r="AN16" s="9">
        <v>1</v>
      </c>
      <c r="AO16" s="9">
        <v>0</v>
      </c>
      <c r="AP16" s="9">
        <v>0</v>
      </c>
      <c r="AQ16" s="9">
        <v>0</v>
      </c>
      <c r="AR16" s="10"/>
    </row>
    <row r="17" spans="2:49">
      <c r="B17" t="s">
        <v>127</v>
      </c>
      <c r="C17" s="37">
        <v>1</v>
      </c>
      <c r="D17" s="37">
        <v>1</v>
      </c>
      <c r="E17" s="37">
        <v>1</v>
      </c>
      <c r="F17" s="37">
        <v>1</v>
      </c>
      <c r="G17" s="37">
        <v>0</v>
      </c>
      <c r="H17" s="30">
        <v>0</v>
      </c>
      <c r="I17" s="31">
        <v>1</v>
      </c>
      <c r="J17" s="36">
        <v>0</v>
      </c>
      <c r="K17" s="36">
        <v>1</v>
      </c>
      <c r="L17" s="36">
        <v>0</v>
      </c>
      <c r="M17" s="36">
        <v>1</v>
      </c>
      <c r="N17" s="36">
        <v>0</v>
      </c>
      <c r="O17" s="27">
        <v>0</v>
      </c>
      <c r="P17" s="27">
        <v>0</v>
      </c>
      <c r="Q17" s="27">
        <v>1</v>
      </c>
      <c r="R17" s="27">
        <v>0</v>
      </c>
      <c r="S17" s="37">
        <v>0</v>
      </c>
      <c r="T17" s="30">
        <v>0</v>
      </c>
      <c r="U17" s="30">
        <v>0</v>
      </c>
      <c r="V17" s="30">
        <v>0</v>
      </c>
      <c r="W17" s="25">
        <v>0</v>
      </c>
      <c r="X17" s="25">
        <v>0</v>
      </c>
      <c r="Y17" s="25">
        <v>1</v>
      </c>
      <c r="Z17" s="25">
        <v>0</v>
      </c>
      <c r="AA17" s="30">
        <v>0</v>
      </c>
      <c r="AB17" s="30">
        <v>0</v>
      </c>
      <c r="AC17" s="30">
        <v>0</v>
      </c>
      <c r="AD17" s="30">
        <v>0</v>
      </c>
      <c r="AE17" s="30">
        <v>1</v>
      </c>
      <c r="AF17" s="30">
        <v>0</v>
      </c>
      <c r="AG17" s="30">
        <v>0</v>
      </c>
      <c r="AH17" s="30">
        <v>0</v>
      </c>
      <c r="AI17" s="28" t="s">
        <v>128</v>
      </c>
      <c r="AJ17" s="29" t="s">
        <v>129</v>
      </c>
      <c r="AL17" s="7" t="s">
        <v>27</v>
      </c>
      <c r="AM17" s="8" t="s">
        <v>18</v>
      </c>
      <c r="AN17" s="9">
        <v>0</v>
      </c>
      <c r="AO17" s="9">
        <v>0</v>
      </c>
      <c r="AP17" s="9">
        <v>0</v>
      </c>
      <c r="AQ17" s="9">
        <v>0</v>
      </c>
      <c r="AR17" s="10"/>
      <c r="AS17" s="36"/>
      <c r="AT17" s="36"/>
      <c r="AU17" s="36"/>
      <c r="AV17" s="36"/>
    </row>
    <row r="18" spans="2:49">
      <c r="B18" s="32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28"/>
      <c r="AJ18" s="29"/>
      <c r="AL18" s="7" t="s">
        <v>23</v>
      </c>
      <c r="AM18" s="8" t="s">
        <v>36</v>
      </c>
      <c r="AN18" s="9">
        <v>1</v>
      </c>
      <c r="AO18" s="9">
        <v>1</v>
      </c>
      <c r="AP18" s="9">
        <v>0</v>
      </c>
      <c r="AQ18" s="9">
        <v>1</v>
      </c>
      <c r="AR18" s="10" t="s">
        <v>24</v>
      </c>
    </row>
    <row r="19" spans="2:49">
      <c r="B19" t="s">
        <v>121</v>
      </c>
      <c r="C19" s="6">
        <v>1</v>
      </c>
      <c r="D19" s="6">
        <v>1</v>
      </c>
      <c r="E19" s="6">
        <v>1</v>
      </c>
      <c r="F19" s="6">
        <v>1</v>
      </c>
      <c r="G19" s="6">
        <v>0</v>
      </c>
      <c r="H19" s="30">
        <v>0</v>
      </c>
      <c r="I19" s="31">
        <v>1</v>
      </c>
      <c r="J19" s="2">
        <v>0</v>
      </c>
      <c r="K19" s="2">
        <v>0</v>
      </c>
      <c r="L19" s="2">
        <v>1</v>
      </c>
      <c r="M19" s="2">
        <v>0</v>
      </c>
      <c r="N19" s="2">
        <v>0</v>
      </c>
      <c r="O19" s="30">
        <v>0</v>
      </c>
      <c r="P19" s="30">
        <v>0</v>
      </c>
      <c r="Q19" s="30">
        <v>0</v>
      </c>
      <c r="R19" s="30">
        <v>0</v>
      </c>
      <c r="S19" s="6">
        <v>0</v>
      </c>
      <c r="T19" s="30">
        <v>0</v>
      </c>
      <c r="U19" s="30">
        <v>0</v>
      </c>
      <c r="V19" s="30">
        <v>0</v>
      </c>
      <c r="W19" s="25">
        <v>0</v>
      </c>
      <c r="X19" s="25">
        <v>0</v>
      </c>
      <c r="Y19" s="25">
        <v>0</v>
      </c>
      <c r="Z19" s="25">
        <v>1</v>
      </c>
      <c r="AA19" s="30">
        <v>0</v>
      </c>
      <c r="AB19" s="30">
        <v>0</v>
      </c>
      <c r="AC19" s="30">
        <v>0</v>
      </c>
      <c r="AD19" s="30">
        <v>0</v>
      </c>
      <c r="AE19" s="30">
        <v>1</v>
      </c>
      <c r="AF19" s="30">
        <v>1</v>
      </c>
      <c r="AG19" s="30">
        <v>0</v>
      </c>
      <c r="AH19" s="30">
        <v>1</v>
      </c>
      <c r="AI19" s="28" t="s">
        <v>126</v>
      </c>
      <c r="AJ19" s="29" t="s">
        <v>122</v>
      </c>
      <c r="AK19" s="8"/>
      <c r="AL19" s="7" t="s">
        <v>28</v>
      </c>
      <c r="AM19" s="8" t="s">
        <v>35</v>
      </c>
      <c r="AN19" s="9">
        <v>0</v>
      </c>
      <c r="AO19" s="9">
        <v>1</v>
      </c>
      <c r="AP19" s="9">
        <v>0</v>
      </c>
      <c r="AQ19" s="9">
        <v>0</v>
      </c>
      <c r="AR19" s="10"/>
    </row>
    <row r="20" spans="2:49">
      <c r="B20" t="s">
        <v>112</v>
      </c>
      <c r="C20" s="6">
        <v>1</v>
      </c>
      <c r="D20" s="6">
        <v>1</v>
      </c>
      <c r="E20" s="6">
        <v>1</v>
      </c>
      <c r="F20" s="6">
        <v>1</v>
      </c>
      <c r="G20" s="6">
        <v>0</v>
      </c>
      <c r="H20" s="30">
        <v>0</v>
      </c>
      <c r="I20" s="31">
        <v>1</v>
      </c>
      <c r="J20" s="2">
        <v>0</v>
      </c>
      <c r="K20" s="2">
        <v>1</v>
      </c>
      <c r="L20" s="2">
        <v>1</v>
      </c>
      <c r="M20" s="2">
        <v>0</v>
      </c>
      <c r="N20" s="2">
        <v>0</v>
      </c>
      <c r="O20" s="30">
        <v>0</v>
      </c>
      <c r="P20" s="30">
        <v>0</v>
      </c>
      <c r="Q20" s="30">
        <v>0</v>
      </c>
      <c r="R20" s="30">
        <v>0</v>
      </c>
      <c r="S20" s="6">
        <v>0</v>
      </c>
      <c r="T20" s="30">
        <v>0</v>
      </c>
      <c r="U20" s="30">
        <v>0</v>
      </c>
      <c r="V20" s="30">
        <v>0</v>
      </c>
      <c r="W20" s="25">
        <v>0</v>
      </c>
      <c r="X20" s="25">
        <v>0</v>
      </c>
      <c r="Y20" s="25">
        <v>0</v>
      </c>
      <c r="Z20" s="25">
        <v>1</v>
      </c>
      <c r="AA20" s="30">
        <v>0</v>
      </c>
      <c r="AB20" s="30">
        <v>0</v>
      </c>
      <c r="AC20" s="30">
        <v>0</v>
      </c>
      <c r="AD20" s="30">
        <v>0</v>
      </c>
      <c r="AE20" s="30">
        <v>1</v>
      </c>
      <c r="AF20" s="30">
        <v>1</v>
      </c>
      <c r="AG20" s="30">
        <v>1</v>
      </c>
      <c r="AH20" s="30">
        <v>1</v>
      </c>
      <c r="AI20" s="28" t="s">
        <v>117</v>
      </c>
      <c r="AJ20" s="29" t="s">
        <v>118</v>
      </c>
      <c r="AK20" s="29"/>
      <c r="AL20" s="7" t="s">
        <v>25</v>
      </c>
      <c r="AM20" s="8" t="s">
        <v>34</v>
      </c>
      <c r="AN20" s="9">
        <v>0</v>
      </c>
      <c r="AO20" s="9">
        <v>0</v>
      </c>
      <c r="AP20" s="9">
        <v>1</v>
      </c>
      <c r="AQ20" s="9">
        <v>0</v>
      </c>
      <c r="AR20" s="10" t="s">
        <v>26</v>
      </c>
    </row>
    <row r="21" spans="2:49">
      <c r="O21" s="2"/>
      <c r="P21" s="2"/>
      <c r="AL21" s="7" t="s">
        <v>30</v>
      </c>
      <c r="AM21" s="8" t="s">
        <v>33</v>
      </c>
      <c r="AN21" s="9">
        <v>0</v>
      </c>
      <c r="AO21" s="9">
        <v>0</v>
      </c>
      <c r="AP21" s="9">
        <v>1</v>
      </c>
      <c r="AQ21" s="9">
        <v>0</v>
      </c>
      <c r="AR21" s="10"/>
    </row>
    <row r="22" spans="2:49" ht="15.75" thickBot="1">
      <c r="O22" s="2"/>
      <c r="P22" s="2"/>
      <c r="AL22" s="11" t="s">
        <v>29</v>
      </c>
      <c r="AM22" s="12" t="s">
        <v>32</v>
      </c>
      <c r="AN22" s="13">
        <v>1</v>
      </c>
      <c r="AO22" s="13">
        <v>1</v>
      </c>
      <c r="AP22" s="13">
        <v>0</v>
      </c>
      <c r="AQ22" s="13">
        <v>1</v>
      </c>
      <c r="AR22" s="14"/>
    </row>
    <row r="23" spans="2:49" ht="15.75" thickBot="1">
      <c r="B23" s="28" t="s">
        <v>150</v>
      </c>
      <c r="C23" s="37">
        <v>1</v>
      </c>
      <c r="D23" s="37">
        <v>1</v>
      </c>
      <c r="E23" s="37">
        <v>1</v>
      </c>
      <c r="F23" s="37">
        <v>1</v>
      </c>
      <c r="G23" s="37">
        <v>0</v>
      </c>
      <c r="H23" s="30">
        <v>0</v>
      </c>
      <c r="I23" s="31">
        <v>1</v>
      </c>
      <c r="J23" s="36">
        <v>0</v>
      </c>
      <c r="K23" s="36">
        <v>0</v>
      </c>
      <c r="L23" s="36">
        <v>1</v>
      </c>
      <c r="M23" s="36">
        <v>0</v>
      </c>
      <c r="N23" s="36">
        <v>0</v>
      </c>
      <c r="O23" s="30">
        <v>0</v>
      </c>
      <c r="P23" s="30">
        <v>0</v>
      </c>
      <c r="Q23" s="30">
        <v>0</v>
      </c>
      <c r="R23" s="30">
        <v>0</v>
      </c>
      <c r="S23" s="37">
        <v>0</v>
      </c>
      <c r="T23" s="30">
        <v>0</v>
      </c>
      <c r="U23" s="30">
        <v>0</v>
      </c>
      <c r="V23" s="30">
        <v>0</v>
      </c>
      <c r="W23" s="25">
        <v>0</v>
      </c>
      <c r="X23" s="25">
        <v>0</v>
      </c>
      <c r="Y23" s="25">
        <v>0</v>
      </c>
      <c r="Z23" s="25">
        <v>1</v>
      </c>
      <c r="AA23" s="30">
        <v>0</v>
      </c>
      <c r="AB23" s="30">
        <v>0</v>
      </c>
      <c r="AC23" s="30">
        <v>0</v>
      </c>
      <c r="AD23" s="30">
        <v>1</v>
      </c>
      <c r="AE23" s="30">
        <v>1</v>
      </c>
      <c r="AF23" s="30">
        <v>0</v>
      </c>
      <c r="AG23" s="30">
        <v>0</v>
      </c>
      <c r="AH23" s="30">
        <v>0</v>
      </c>
      <c r="AN23" s="1"/>
      <c r="AO23" s="1"/>
      <c r="AP23" s="1"/>
      <c r="AQ23" s="1"/>
    </row>
    <row r="24" spans="2:49" ht="15.75" thickBot="1">
      <c r="B24" s="28" t="s">
        <v>151</v>
      </c>
      <c r="C24" s="37">
        <v>1</v>
      </c>
      <c r="D24" s="37">
        <v>1</v>
      </c>
      <c r="E24" s="37">
        <v>1</v>
      </c>
      <c r="F24" s="37">
        <v>1</v>
      </c>
      <c r="G24" s="37">
        <v>0</v>
      </c>
      <c r="H24" s="30">
        <v>0</v>
      </c>
      <c r="I24" s="31">
        <v>1</v>
      </c>
      <c r="J24" s="36">
        <v>0</v>
      </c>
      <c r="K24" s="36">
        <v>1</v>
      </c>
      <c r="L24" s="36">
        <v>1</v>
      </c>
      <c r="M24" s="36">
        <v>0</v>
      </c>
      <c r="N24" s="36">
        <v>0</v>
      </c>
      <c r="O24" s="30">
        <v>0</v>
      </c>
      <c r="P24" s="30">
        <v>0</v>
      </c>
      <c r="Q24" s="30">
        <v>0</v>
      </c>
      <c r="R24" s="30">
        <v>0</v>
      </c>
      <c r="S24" s="37">
        <v>0</v>
      </c>
      <c r="T24" s="30">
        <v>0</v>
      </c>
      <c r="U24" s="30">
        <v>0</v>
      </c>
      <c r="V24" s="30">
        <v>0</v>
      </c>
      <c r="W24" s="25">
        <v>0</v>
      </c>
      <c r="X24" s="25">
        <v>0</v>
      </c>
      <c r="Y24" s="25">
        <v>0</v>
      </c>
      <c r="Z24" s="25">
        <v>1</v>
      </c>
      <c r="AA24" s="30">
        <v>0</v>
      </c>
      <c r="AB24" s="30">
        <v>0</v>
      </c>
      <c r="AC24" s="30">
        <v>0</v>
      </c>
      <c r="AD24" s="30">
        <v>0</v>
      </c>
      <c r="AE24" s="30">
        <v>0</v>
      </c>
      <c r="AF24" s="30">
        <v>0</v>
      </c>
      <c r="AG24" s="30">
        <v>0</v>
      </c>
      <c r="AH24" s="30">
        <v>0</v>
      </c>
      <c r="AL24" s="91" t="s">
        <v>12</v>
      </c>
      <c r="AM24" s="92"/>
      <c r="AN24" s="92"/>
      <c r="AO24" s="92"/>
      <c r="AP24" s="93"/>
      <c r="AQ24" s="1"/>
    </row>
    <row r="25" spans="2:49" ht="15.75" thickBot="1">
      <c r="B25" s="28" t="s">
        <v>154</v>
      </c>
      <c r="C25" s="37">
        <v>1</v>
      </c>
      <c r="D25" s="37">
        <v>1</v>
      </c>
      <c r="E25" s="37">
        <v>1</v>
      </c>
      <c r="F25" s="37">
        <v>1</v>
      </c>
      <c r="G25" s="37">
        <v>0</v>
      </c>
      <c r="H25" s="30">
        <v>0</v>
      </c>
      <c r="I25" s="31">
        <v>1</v>
      </c>
      <c r="J25" s="36">
        <v>0</v>
      </c>
      <c r="K25" s="36">
        <v>0</v>
      </c>
      <c r="L25" s="36">
        <v>1</v>
      </c>
      <c r="M25" s="36">
        <v>0</v>
      </c>
      <c r="N25" s="36">
        <v>0</v>
      </c>
      <c r="O25" s="30">
        <v>0</v>
      </c>
      <c r="P25" s="30">
        <v>0</v>
      </c>
      <c r="Q25" s="30">
        <v>0</v>
      </c>
      <c r="R25" s="30">
        <v>0</v>
      </c>
      <c r="S25" s="37">
        <v>0</v>
      </c>
      <c r="T25" s="30">
        <v>0</v>
      </c>
      <c r="U25" s="30">
        <v>0</v>
      </c>
      <c r="V25" s="30">
        <v>0</v>
      </c>
      <c r="W25" s="25">
        <v>0</v>
      </c>
      <c r="X25" s="25">
        <v>0</v>
      </c>
      <c r="Y25" s="25">
        <v>1</v>
      </c>
      <c r="Z25" s="25">
        <v>0</v>
      </c>
      <c r="AA25" s="30">
        <v>0</v>
      </c>
      <c r="AB25" s="30">
        <v>0</v>
      </c>
      <c r="AC25" s="30">
        <v>0</v>
      </c>
      <c r="AD25" s="30">
        <v>1</v>
      </c>
      <c r="AE25" s="30">
        <v>1</v>
      </c>
      <c r="AF25" s="30">
        <v>1</v>
      </c>
      <c r="AG25" s="30">
        <v>1</v>
      </c>
      <c r="AH25" s="30">
        <v>1</v>
      </c>
      <c r="AI25" s="36"/>
      <c r="AL25" s="17" t="s">
        <v>37</v>
      </c>
      <c r="AM25" s="18" t="s">
        <v>0</v>
      </c>
      <c r="AN25" s="19" t="s">
        <v>6</v>
      </c>
      <c r="AO25" s="19" t="s">
        <v>38</v>
      </c>
      <c r="AP25" s="20" t="s">
        <v>39</v>
      </c>
      <c r="AQ25" s="1"/>
      <c r="AS25"/>
      <c r="AW25" s="1"/>
    </row>
    <row r="26" spans="2:49">
      <c r="B26" s="28" t="s">
        <v>155</v>
      </c>
      <c r="C26" s="37">
        <v>1</v>
      </c>
      <c r="D26" s="37">
        <v>1</v>
      </c>
      <c r="E26" s="37">
        <v>1</v>
      </c>
      <c r="F26" s="37">
        <v>1</v>
      </c>
      <c r="G26" s="37">
        <v>0</v>
      </c>
      <c r="H26" s="30">
        <v>0</v>
      </c>
      <c r="I26" s="31">
        <v>1</v>
      </c>
      <c r="J26" s="36">
        <v>0</v>
      </c>
      <c r="K26" s="36">
        <v>1</v>
      </c>
      <c r="L26" s="36">
        <v>1</v>
      </c>
      <c r="M26" s="36">
        <v>0</v>
      </c>
      <c r="N26" s="36">
        <v>0</v>
      </c>
      <c r="O26" s="30">
        <v>0</v>
      </c>
      <c r="P26" s="30">
        <v>0</v>
      </c>
      <c r="Q26" s="30">
        <v>0</v>
      </c>
      <c r="R26" s="30">
        <v>0</v>
      </c>
      <c r="S26" s="37">
        <v>0</v>
      </c>
      <c r="T26" s="30">
        <v>0</v>
      </c>
      <c r="U26" s="30">
        <v>0</v>
      </c>
      <c r="V26" s="30">
        <v>0</v>
      </c>
      <c r="W26" s="25">
        <v>0</v>
      </c>
      <c r="X26" s="25">
        <v>0</v>
      </c>
      <c r="Y26" s="25">
        <v>1</v>
      </c>
      <c r="Z26" s="25">
        <v>0</v>
      </c>
      <c r="AA26" s="30">
        <v>0</v>
      </c>
      <c r="AB26" s="30">
        <v>0</v>
      </c>
      <c r="AC26" s="30">
        <v>0</v>
      </c>
      <c r="AD26" s="30">
        <v>0</v>
      </c>
      <c r="AE26" s="30">
        <v>0</v>
      </c>
      <c r="AF26" s="30">
        <v>0</v>
      </c>
      <c r="AG26" s="30">
        <v>0</v>
      </c>
      <c r="AH26" s="30">
        <v>0</v>
      </c>
      <c r="AI26" s="36"/>
      <c r="AL26" s="72" t="s">
        <v>41</v>
      </c>
      <c r="AM26" s="73" t="s">
        <v>44</v>
      </c>
      <c r="AN26" s="74">
        <v>0</v>
      </c>
      <c r="AO26" s="74">
        <v>0</v>
      </c>
      <c r="AP26" s="75">
        <v>0</v>
      </c>
      <c r="AQ26" s="1"/>
      <c r="AS26"/>
      <c r="AW26" s="1"/>
    </row>
    <row r="27" spans="2:49" ht="15.75" thickBot="1">
      <c r="AI27" s="36"/>
      <c r="AL27" s="76" t="s">
        <v>42</v>
      </c>
      <c r="AM27" s="77" t="s">
        <v>43</v>
      </c>
      <c r="AN27" s="78">
        <v>1</v>
      </c>
      <c r="AO27" s="78">
        <v>1</v>
      </c>
      <c r="AP27" s="79">
        <v>0</v>
      </c>
      <c r="AQ27" s="1"/>
      <c r="AS27"/>
      <c r="AW27" s="1"/>
    </row>
    <row r="28" spans="2:49" ht="15.75" thickBot="1">
      <c r="AI28" s="36"/>
      <c r="AN28" s="2"/>
      <c r="AO28" s="2"/>
      <c r="AP28" s="2"/>
      <c r="AQ28" s="1"/>
      <c r="AS28"/>
      <c r="AW28" s="1"/>
    </row>
    <row r="29" spans="2:49" ht="15.75" thickBot="1">
      <c r="AI29" s="36"/>
      <c r="AL29" s="91" t="s">
        <v>45</v>
      </c>
      <c r="AM29" s="92"/>
      <c r="AN29" s="92"/>
      <c r="AO29" s="92"/>
      <c r="AP29" s="93"/>
      <c r="AQ29" s="1"/>
      <c r="AS29"/>
      <c r="AW29" s="1"/>
    </row>
    <row r="30" spans="2:49" ht="15.75" thickBot="1">
      <c r="AI30" s="36"/>
      <c r="AL30" s="17" t="s">
        <v>37</v>
      </c>
      <c r="AM30" s="18" t="s">
        <v>0</v>
      </c>
      <c r="AN30" s="19" t="s">
        <v>6</v>
      </c>
      <c r="AO30" s="19" t="s">
        <v>38</v>
      </c>
      <c r="AP30" s="20" t="s">
        <v>39</v>
      </c>
      <c r="AQ30" s="1"/>
      <c r="AS30"/>
      <c r="AW30" s="1"/>
    </row>
    <row r="31" spans="2:49">
      <c r="AI31" s="36"/>
      <c r="AL31" s="7" t="s">
        <v>46</v>
      </c>
      <c r="AM31" s="8" t="s">
        <v>47</v>
      </c>
      <c r="AN31" s="9">
        <v>1</v>
      </c>
      <c r="AO31" s="9">
        <v>0</v>
      </c>
      <c r="AP31" s="15">
        <v>0</v>
      </c>
      <c r="AQ31" s="1"/>
      <c r="AS31"/>
      <c r="AW31" s="1"/>
    </row>
    <row r="32" spans="2:49" ht="15.75" thickBot="1">
      <c r="AI32" s="36"/>
      <c r="AL32" s="11" t="s">
        <v>48</v>
      </c>
      <c r="AM32" s="12" t="s">
        <v>34</v>
      </c>
      <c r="AN32" s="13">
        <v>0</v>
      </c>
      <c r="AO32" s="13">
        <v>0</v>
      </c>
      <c r="AP32" s="16">
        <v>0</v>
      </c>
      <c r="AQ32" s="1"/>
      <c r="AS32"/>
      <c r="AW32" s="1"/>
    </row>
    <row r="33" spans="35:49">
      <c r="AI33" s="36"/>
      <c r="AS33"/>
      <c r="AW33" s="1"/>
    </row>
    <row r="34" spans="35:49">
      <c r="AI34" s="36"/>
      <c r="AS34"/>
      <c r="AW34" s="1"/>
    </row>
    <row r="35" spans="35:49">
      <c r="AI35" s="36"/>
      <c r="AS35"/>
      <c r="AW35" s="1"/>
    </row>
    <row r="36" spans="35:49">
      <c r="AI36" s="36"/>
      <c r="AS36"/>
      <c r="AW36" s="1"/>
    </row>
    <row r="37" spans="35:49">
      <c r="AI37" s="36"/>
      <c r="AS37"/>
      <c r="AW37" s="1"/>
    </row>
    <row r="38" spans="35:49">
      <c r="AI38" s="36"/>
      <c r="AS38"/>
      <c r="AW38" s="1"/>
    </row>
    <row r="39" spans="35:49">
      <c r="AI39" s="36"/>
      <c r="AS39"/>
      <c r="AW39" s="1"/>
    </row>
    <row r="40" spans="35:49">
      <c r="AI40" s="36"/>
      <c r="AS40"/>
      <c r="AW40" s="1"/>
    </row>
    <row r="41" spans="35:49">
      <c r="AI41" s="36"/>
      <c r="AS41"/>
      <c r="AW41" s="1"/>
    </row>
    <row r="42" spans="35:49">
      <c r="AI42" s="36"/>
      <c r="AS42"/>
      <c r="AW42" s="1"/>
    </row>
    <row r="43" spans="35:49">
      <c r="AI43" s="36"/>
      <c r="AS43"/>
      <c r="AW43" s="1"/>
    </row>
  </sheetData>
  <mergeCells count="23">
    <mergeCell ref="O5:R5"/>
    <mergeCell ref="T5:V5"/>
    <mergeCell ref="W5:Z5"/>
    <mergeCell ref="AA5:AH5"/>
    <mergeCell ref="T6:V6"/>
    <mergeCell ref="W6:Z6"/>
    <mergeCell ref="AA6:AH6"/>
    <mergeCell ref="J4:M4"/>
    <mergeCell ref="C5:G6"/>
    <mergeCell ref="C4:G4"/>
    <mergeCell ref="AL29:AP29"/>
    <mergeCell ref="H3:R3"/>
    <mergeCell ref="T3:AH3"/>
    <mergeCell ref="O4:R4"/>
    <mergeCell ref="T4:V4"/>
    <mergeCell ref="W4:Z4"/>
    <mergeCell ref="AA4:AH4"/>
    <mergeCell ref="AL24:AP24"/>
    <mergeCell ref="S5:S6"/>
    <mergeCell ref="O6:R6"/>
    <mergeCell ref="M6:N6"/>
    <mergeCell ref="AL14:AR14"/>
    <mergeCell ref="M5:N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2:AU28"/>
  <sheetViews>
    <sheetView topLeftCell="A7" workbookViewId="0">
      <selection activeCell="R22" sqref="R22"/>
    </sheetView>
  </sheetViews>
  <sheetFormatPr baseColWidth="10" defaultRowHeight="15"/>
  <cols>
    <col min="2" max="2" width="31.28515625" bestFit="1" customWidth="1"/>
    <col min="3" max="18" width="2.85546875" style="1" customWidth="1"/>
    <col min="19" max="19" width="3.85546875" style="1" customWidth="1"/>
    <col min="20" max="34" width="2.85546875" style="1" customWidth="1"/>
    <col min="37" max="37" width="22" bestFit="1" customWidth="1"/>
    <col min="38" max="38" width="10.28515625" customWidth="1"/>
    <col min="39" max="42" width="6" bestFit="1" customWidth="1"/>
    <col min="43" max="43" width="17.5703125" bestFit="1" customWidth="1"/>
    <col min="44" max="44" width="6" style="1" bestFit="1" customWidth="1"/>
    <col min="45" max="46" width="7" style="1" bestFit="1" customWidth="1"/>
    <col min="47" max="47" width="6" style="1" bestFit="1" customWidth="1"/>
  </cols>
  <sheetData>
    <row r="2" spans="2:43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  <c r="AK2" t="s">
        <v>3</v>
      </c>
    </row>
    <row r="3" spans="2:43">
      <c r="B3" s="4" t="s">
        <v>49</v>
      </c>
      <c r="C3" s="5">
        <v>1</v>
      </c>
      <c r="D3" s="5">
        <v>1</v>
      </c>
      <c r="E3" s="5">
        <v>1</v>
      </c>
      <c r="F3" s="5"/>
      <c r="G3" s="5">
        <v>1</v>
      </c>
      <c r="H3" s="5">
        <v>0</v>
      </c>
      <c r="I3" s="5">
        <v>1</v>
      </c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</row>
    <row r="4" spans="2:43">
      <c r="B4" t="s">
        <v>50</v>
      </c>
      <c r="C4" s="88"/>
      <c r="D4" s="88"/>
      <c r="E4" s="88"/>
      <c r="F4" s="1">
        <v>0</v>
      </c>
      <c r="G4" s="88"/>
      <c r="H4" s="88"/>
      <c r="I4" s="88"/>
      <c r="J4" s="88" t="s">
        <v>6</v>
      </c>
      <c r="K4" s="88"/>
      <c r="L4" s="88"/>
      <c r="M4" s="88"/>
      <c r="N4" s="1" t="s">
        <v>7</v>
      </c>
      <c r="O4" s="88" t="s">
        <v>8</v>
      </c>
      <c r="P4" s="88"/>
      <c r="Q4" s="88"/>
      <c r="R4" s="88"/>
      <c r="S4" s="1" t="s">
        <v>51</v>
      </c>
      <c r="T4" s="88" t="s">
        <v>9</v>
      </c>
      <c r="U4" s="88"/>
      <c r="V4" s="88"/>
      <c r="W4" s="88" t="s">
        <v>52</v>
      </c>
      <c r="X4" s="88"/>
      <c r="Y4" s="88"/>
      <c r="Z4" s="88"/>
      <c r="AA4" s="88" t="s">
        <v>53</v>
      </c>
      <c r="AB4" s="88"/>
      <c r="AC4" s="88" t="s">
        <v>54</v>
      </c>
      <c r="AD4" s="88"/>
      <c r="AE4" s="88" t="s">
        <v>55</v>
      </c>
      <c r="AF4" s="88"/>
      <c r="AG4" s="88"/>
      <c r="AH4" s="88"/>
      <c r="AK4" t="s">
        <v>93</v>
      </c>
      <c r="AL4" t="s">
        <v>57</v>
      </c>
    </row>
    <row r="5" spans="2:43">
      <c r="C5" s="3"/>
      <c r="D5" s="3"/>
      <c r="E5" s="3"/>
      <c r="G5" s="3"/>
      <c r="H5" s="3"/>
      <c r="I5" s="3"/>
      <c r="AK5" t="s">
        <v>92</v>
      </c>
    </row>
    <row r="6" spans="2:43">
      <c r="C6" s="3"/>
      <c r="D6" s="3"/>
      <c r="E6" s="3"/>
      <c r="G6" s="3"/>
      <c r="H6" s="3"/>
      <c r="I6" s="3"/>
      <c r="AK6" t="s">
        <v>94</v>
      </c>
    </row>
    <row r="7" spans="2:43">
      <c r="C7" s="3"/>
      <c r="D7" s="3"/>
      <c r="E7" s="3"/>
      <c r="G7" s="3"/>
      <c r="H7" s="3"/>
      <c r="I7" s="3"/>
      <c r="AK7" t="s">
        <v>56</v>
      </c>
    </row>
    <row r="8" spans="2:43">
      <c r="C8" s="3"/>
      <c r="D8" s="3"/>
      <c r="E8" s="3"/>
      <c r="G8" s="3"/>
      <c r="H8" s="3"/>
      <c r="I8" s="3"/>
    </row>
    <row r="9" spans="2:43" ht="15.75" thickBot="1"/>
    <row r="10" spans="2:43" ht="15.75" thickBot="1">
      <c r="AK10" s="91" t="s">
        <v>49</v>
      </c>
      <c r="AL10" s="92"/>
      <c r="AM10" s="92"/>
      <c r="AN10" s="92"/>
      <c r="AO10" s="92"/>
      <c r="AP10" s="92"/>
      <c r="AQ10" s="93"/>
    </row>
    <row r="11" spans="2:43" ht="15.75" thickBot="1">
      <c r="B11" s="28" t="s">
        <v>156</v>
      </c>
      <c r="C11" s="37">
        <v>1</v>
      </c>
      <c r="D11" s="37">
        <v>1</v>
      </c>
      <c r="E11" s="37">
        <v>1</v>
      </c>
      <c r="F11" s="36">
        <v>0</v>
      </c>
      <c r="G11" s="37">
        <v>1</v>
      </c>
      <c r="H11" s="37">
        <v>0</v>
      </c>
      <c r="I11" s="37">
        <v>1</v>
      </c>
      <c r="J11" s="40">
        <v>1</v>
      </c>
      <c r="K11" s="40">
        <v>0</v>
      </c>
      <c r="L11" s="40">
        <v>0</v>
      </c>
      <c r="M11" s="40">
        <v>0</v>
      </c>
      <c r="N11" s="1">
        <v>0</v>
      </c>
      <c r="O11" s="27">
        <v>0</v>
      </c>
      <c r="P11" s="27">
        <v>0</v>
      </c>
      <c r="Q11" s="27">
        <v>0</v>
      </c>
      <c r="R11" s="27">
        <v>1</v>
      </c>
      <c r="S11" s="1">
        <v>0</v>
      </c>
      <c r="T11" s="1">
        <v>0</v>
      </c>
      <c r="U11" s="1">
        <v>0</v>
      </c>
      <c r="V11" s="1">
        <v>0</v>
      </c>
      <c r="W11" s="39">
        <v>0</v>
      </c>
      <c r="X11" s="39">
        <v>0</v>
      </c>
      <c r="Y11" s="39">
        <v>1</v>
      </c>
      <c r="Z11" s="39">
        <v>1</v>
      </c>
      <c r="AA11" s="1">
        <v>0</v>
      </c>
      <c r="AB11" s="1">
        <v>0</v>
      </c>
      <c r="AC11" s="1">
        <v>0</v>
      </c>
      <c r="AD11" s="1">
        <v>0</v>
      </c>
      <c r="AE11" s="25">
        <v>0</v>
      </c>
      <c r="AF11" s="25">
        <v>0</v>
      </c>
      <c r="AG11" s="25">
        <v>1</v>
      </c>
      <c r="AH11" s="25">
        <v>0</v>
      </c>
      <c r="AK11" s="17" t="s">
        <v>37</v>
      </c>
      <c r="AL11" s="18" t="s">
        <v>0</v>
      </c>
      <c r="AM11" s="19" t="s">
        <v>19</v>
      </c>
      <c r="AN11" s="19" t="s">
        <v>20</v>
      </c>
      <c r="AO11" s="19" t="s">
        <v>21</v>
      </c>
      <c r="AP11" s="19" t="s">
        <v>22</v>
      </c>
      <c r="AQ11" s="20" t="s">
        <v>40</v>
      </c>
    </row>
    <row r="12" spans="2:43">
      <c r="B12" s="28" t="s">
        <v>157</v>
      </c>
      <c r="C12" s="37">
        <v>1</v>
      </c>
      <c r="D12" s="37">
        <v>1</v>
      </c>
      <c r="E12" s="37">
        <v>1</v>
      </c>
      <c r="F12" s="36">
        <v>0</v>
      </c>
      <c r="G12" s="37">
        <v>1</v>
      </c>
      <c r="H12" s="37">
        <v>0</v>
      </c>
      <c r="I12" s="37">
        <v>1</v>
      </c>
      <c r="J12" s="40">
        <v>1</v>
      </c>
      <c r="K12" s="40">
        <v>1</v>
      </c>
      <c r="L12" s="40">
        <v>0</v>
      </c>
      <c r="M12" s="40">
        <v>1</v>
      </c>
      <c r="N12" s="36">
        <v>0</v>
      </c>
      <c r="O12" s="27">
        <v>0</v>
      </c>
      <c r="P12" s="27">
        <v>0</v>
      </c>
      <c r="Q12" s="27">
        <v>1</v>
      </c>
      <c r="R12" s="27">
        <v>0</v>
      </c>
      <c r="S12" s="36">
        <v>0</v>
      </c>
      <c r="T12" s="36">
        <v>0</v>
      </c>
      <c r="U12" s="36">
        <v>0</v>
      </c>
      <c r="V12" s="36">
        <v>0</v>
      </c>
      <c r="W12" s="39">
        <v>0</v>
      </c>
      <c r="X12" s="39">
        <v>1</v>
      </c>
      <c r="Y12" s="39">
        <v>0</v>
      </c>
      <c r="Z12" s="39">
        <v>0</v>
      </c>
      <c r="AA12" s="36">
        <v>0</v>
      </c>
      <c r="AB12" s="36">
        <v>0</v>
      </c>
      <c r="AC12" s="36">
        <v>0</v>
      </c>
      <c r="AD12" s="36">
        <v>0</v>
      </c>
      <c r="AE12" s="25">
        <v>0</v>
      </c>
      <c r="AF12" s="25">
        <v>0</v>
      </c>
      <c r="AG12" s="25">
        <v>0</v>
      </c>
      <c r="AH12" s="25">
        <v>1</v>
      </c>
      <c r="AK12" s="7" t="s">
        <v>17</v>
      </c>
      <c r="AL12" s="8" t="s">
        <v>31</v>
      </c>
      <c r="AM12" s="9">
        <v>1</v>
      </c>
      <c r="AN12" s="9">
        <v>0</v>
      </c>
      <c r="AO12" s="9">
        <v>0</v>
      </c>
      <c r="AP12" s="9">
        <v>0</v>
      </c>
      <c r="AQ12" s="10"/>
    </row>
    <row r="13" spans="2:43">
      <c r="AK13" s="7" t="s">
        <v>27</v>
      </c>
      <c r="AL13" s="8" t="s">
        <v>18</v>
      </c>
      <c r="AM13" s="9">
        <v>0</v>
      </c>
      <c r="AN13" s="9">
        <v>0</v>
      </c>
      <c r="AO13" s="9">
        <v>0</v>
      </c>
      <c r="AP13" s="9">
        <v>0</v>
      </c>
      <c r="AQ13" s="10"/>
    </row>
    <row r="14" spans="2:43">
      <c r="AK14" s="7" t="s">
        <v>23</v>
      </c>
      <c r="AL14" s="8" t="s">
        <v>36</v>
      </c>
      <c r="AM14" s="9">
        <v>1</v>
      </c>
      <c r="AN14" s="9">
        <v>1</v>
      </c>
      <c r="AO14" s="9">
        <v>0</v>
      </c>
      <c r="AP14" s="9">
        <v>1</v>
      </c>
      <c r="AQ14" s="10" t="s">
        <v>24</v>
      </c>
    </row>
    <row r="15" spans="2:43">
      <c r="B15" t="s">
        <v>197</v>
      </c>
      <c r="C15" s="81">
        <v>1</v>
      </c>
      <c r="D15" s="81">
        <v>1</v>
      </c>
      <c r="E15" s="81">
        <v>1</v>
      </c>
      <c r="F15" s="80">
        <v>0</v>
      </c>
      <c r="G15" s="81">
        <v>1</v>
      </c>
      <c r="H15" s="81">
        <v>0</v>
      </c>
      <c r="I15" s="81">
        <v>1</v>
      </c>
      <c r="J15" s="40">
        <v>1</v>
      </c>
      <c r="K15" s="40">
        <v>0</v>
      </c>
      <c r="L15" s="40">
        <v>0</v>
      </c>
      <c r="M15" s="40">
        <v>0</v>
      </c>
      <c r="N15" s="80">
        <v>0</v>
      </c>
      <c r="O15" s="27">
        <v>0</v>
      </c>
      <c r="P15" s="27">
        <v>0</v>
      </c>
      <c r="Q15" s="27">
        <v>1</v>
      </c>
      <c r="R15" s="27">
        <v>0</v>
      </c>
      <c r="S15" s="80">
        <v>0</v>
      </c>
      <c r="T15" s="80">
        <v>0</v>
      </c>
      <c r="U15" s="80">
        <v>0</v>
      </c>
      <c r="V15" s="80">
        <v>0</v>
      </c>
      <c r="W15" s="39">
        <v>0</v>
      </c>
      <c r="X15" s="39">
        <v>1</v>
      </c>
      <c r="Y15" s="39">
        <v>0</v>
      </c>
      <c r="Z15" s="39">
        <v>0</v>
      </c>
      <c r="AA15" s="80">
        <v>0</v>
      </c>
      <c r="AB15" s="80">
        <v>0</v>
      </c>
      <c r="AC15" s="80">
        <v>0</v>
      </c>
      <c r="AD15" s="80">
        <v>0</v>
      </c>
      <c r="AE15" s="25">
        <v>0</v>
      </c>
      <c r="AF15" s="25">
        <v>0</v>
      </c>
      <c r="AG15" s="25">
        <v>0</v>
      </c>
      <c r="AH15" s="25">
        <v>1</v>
      </c>
      <c r="AK15" s="7" t="s">
        <v>28</v>
      </c>
      <c r="AL15" s="8" t="s">
        <v>35</v>
      </c>
      <c r="AM15" s="9">
        <v>0</v>
      </c>
      <c r="AN15" s="9">
        <v>1</v>
      </c>
      <c r="AO15" s="9">
        <v>0</v>
      </c>
      <c r="AP15" s="9">
        <v>0</v>
      </c>
      <c r="AQ15" s="10"/>
    </row>
    <row r="16" spans="2:43">
      <c r="B16" t="s">
        <v>198</v>
      </c>
      <c r="C16" s="81">
        <v>1</v>
      </c>
      <c r="D16" s="81">
        <v>1</v>
      </c>
      <c r="E16" s="81">
        <v>1</v>
      </c>
      <c r="F16" s="80">
        <v>0</v>
      </c>
      <c r="G16" s="81">
        <v>1</v>
      </c>
      <c r="H16" s="81">
        <v>0</v>
      </c>
      <c r="I16" s="81">
        <v>1</v>
      </c>
      <c r="J16" s="40">
        <v>0</v>
      </c>
      <c r="K16" s="40">
        <v>0</v>
      </c>
      <c r="L16" s="40">
        <v>0</v>
      </c>
      <c r="M16" s="40">
        <v>0</v>
      </c>
      <c r="N16" s="80">
        <v>0</v>
      </c>
      <c r="O16" s="27">
        <v>0</v>
      </c>
      <c r="P16" s="27">
        <v>0</v>
      </c>
      <c r="Q16" s="27">
        <v>1</v>
      </c>
      <c r="R16" s="27">
        <v>0</v>
      </c>
      <c r="S16" s="80">
        <v>0</v>
      </c>
      <c r="T16" s="80">
        <v>0</v>
      </c>
      <c r="U16" s="80">
        <v>0</v>
      </c>
      <c r="V16" s="80">
        <v>0</v>
      </c>
      <c r="W16" s="39">
        <v>0</v>
      </c>
      <c r="X16" s="39">
        <v>1</v>
      </c>
      <c r="Y16" s="39">
        <v>0</v>
      </c>
      <c r="Z16" s="39">
        <v>0</v>
      </c>
      <c r="AA16" s="80">
        <v>0</v>
      </c>
      <c r="AB16" s="80">
        <v>0</v>
      </c>
      <c r="AC16" s="80">
        <v>0</v>
      </c>
      <c r="AD16" s="80">
        <v>0</v>
      </c>
      <c r="AE16" s="25">
        <v>0</v>
      </c>
      <c r="AF16" s="25">
        <v>0</v>
      </c>
      <c r="AG16" s="25">
        <v>0</v>
      </c>
      <c r="AH16" s="25">
        <v>1</v>
      </c>
      <c r="AK16" s="7" t="s">
        <v>25</v>
      </c>
      <c r="AL16" s="8" t="s">
        <v>34</v>
      </c>
      <c r="AM16" s="9">
        <v>0</v>
      </c>
      <c r="AN16" s="9">
        <v>0</v>
      </c>
      <c r="AO16" s="9">
        <v>1</v>
      </c>
      <c r="AP16" s="9">
        <v>0</v>
      </c>
      <c r="AQ16" s="10" t="s">
        <v>26</v>
      </c>
    </row>
    <row r="17" spans="2:47">
      <c r="B17" t="s">
        <v>203</v>
      </c>
      <c r="C17" s="81">
        <v>1</v>
      </c>
      <c r="D17" s="81">
        <v>1</v>
      </c>
      <c r="E17" s="81">
        <v>1</v>
      </c>
      <c r="F17" s="80">
        <v>0</v>
      </c>
      <c r="G17" s="81">
        <v>1</v>
      </c>
      <c r="H17" s="81">
        <v>0</v>
      </c>
      <c r="I17" s="81">
        <v>1</v>
      </c>
      <c r="J17" s="40">
        <v>1</v>
      </c>
      <c r="K17" s="40">
        <v>1</v>
      </c>
      <c r="L17" s="40">
        <v>0</v>
      </c>
      <c r="M17" s="40">
        <v>1</v>
      </c>
      <c r="N17" s="80">
        <v>1</v>
      </c>
      <c r="O17" s="27">
        <v>0</v>
      </c>
      <c r="P17" s="27">
        <v>0</v>
      </c>
      <c r="Q17" s="27">
        <v>1</v>
      </c>
      <c r="R17" s="27">
        <v>0</v>
      </c>
      <c r="S17" s="80">
        <v>0</v>
      </c>
      <c r="T17" s="80">
        <v>0</v>
      </c>
      <c r="U17" s="80">
        <v>0</v>
      </c>
      <c r="V17" s="80">
        <v>0</v>
      </c>
      <c r="W17" s="39">
        <v>1</v>
      </c>
      <c r="X17" s="39">
        <v>1</v>
      </c>
      <c r="Y17" s="39">
        <v>1</v>
      </c>
      <c r="Z17" s="39">
        <v>1</v>
      </c>
      <c r="AA17" s="80">
        <v>0</v>
      </c>
      <c r="AB17" s="80">
        <v>0</v>
      </c>
      <c r="AC17" s="80">
        <v>0</v>
      </c>
      <c r="AD17" s="80">
        <v>0</v>
      </c>
      <c r="AE17" s="25">
        <v>0</v>
      </c>
      <c r="AF17" s="25">
        <v>0</v>
      </c>
      <c r="AG17" s="25">
        <v>0</v>
      </c>
      <c r="AH17" s="25">
        <v>1</v>
      </c>
      <c r="AK17" s="7" t="s">
        <v>30</v>
      </c>
      <c r="AL17" s="8" t="s">
        <v>33</v>
      </c>
      <c r="AM17" s="9">
        <v>0</v>
      </c>
      <c r="AN17" s="9">
        <v>0</v>
      </c>
      <c r="AO17" s="9">
        <v>1</v>
      </c>
      <c r="AP17" s="9">
        <v>0</v>
      </c>
      <c r="AQ17" s="10"/>
    </row>
    <row r="18" spans="2:47" ht="15.75" thickBot="1">
      <c r="B18" t="s">
        <v>199</v>
      </c>
      <c r="C18" s="81">
        <v>1</v>
      </c>
      <c r="D18" s="81">
        <v>1</v>
      </c>
      <c r="E18" s="81">
        <v>1</v>
      </c>
      <c r="F18" s="80">
        <v>0</v>
      </c>
      <c r="G18" s="81">
        <v>1</v>
      </c>
      <c r="H18" s="81">
        <v>0</v>
      </c>
      <c r="I18" s="81">
        <v>1</v>
      </c>
      <c r="J18" s="40">
        <v>0</v>
      </c>
      <c r="K18" s="40">
        <v>1</v>
      </c>
      <c r="L18" s="40">
        <v>0</v>
      </c>
      <c r="M18" s="40">
        <v>0</v>
      </c>
      <c r="N18" s="80">
        <v>0</v>
      </c>
      <c r="O18" s="27">
        <v>0</v>
      </c>
      <c r="P18" s="27">
        <v>0</v>
      </c>
      <c r="Q18" s="27">
        <v>1</v>
      </c>
      <c r="R18" s="27">
        <v>0</v>
      </c>
      <c r="S18" s="80">
        <v>0</v>
      </c>
      <c r="T18" s="80">
        <v>0</v>
      </c>
      <c r="U18" s="80">
        <v>0</v>
      </c>
      <c r="V18" s="80">
        <v>0</v>
      </c>
      <c r="W18" s="39">
        <v>0</v>
      </c>
      <c r="X18" s="39">
        <v>1</v>
      </c>
      <c r="Y18" s="39">
        <v>0</v>
      </c>
      <c r="Z18" s="39">
        <v>0</v>
      </c>
      <c r="AA18" s="80">
        <v>0</v>
      </c>
      <c r="AB18" s="80">
        <v>0</v>
      </c>
      <c r="AC18" s="80">
        <v>0</v>
      </c>
      <c r="AD18" s="80">
        <v>0</v>
      </c>
      <c r="AE18" s="25">
        <v>0</v>
      </c>
      <c r="AF18" s="25">
        <v>0</v>
      </c>
      <c r="AG18" s="25">
        <v>0</v>
      </c>
      <c r="AH18" s="25">
        <v>1</v>
      </c>
      <c r="AK18" s="11" t="s">
        <v>29</v>
      </c>
      <c r="AL18" s="12" t="s">
        <v>32</v>
      </c>
      <c r="AM18" s="13">
        <v>1</v>
      </c>
      <c r="AN18" s="13">
        <v>1</v>
      </c>
      <c r="AO18" s="13">
        <v>0</v>
      </c>
      <c r="AP18" s="13">
        <v>1</v>
      </c>
      <c r="AQ18" s="14"/>
    </row>
    <row r="19" spans="2:47">
      <c r="B19" t="s">
        <v>202</v>
      </c>
      <c r="C19" s="81">
        <v>1</v>
      </c>
      <c r="D19" s="81">
        <v>1</v>
      </c>
      <c r="E19" s="81">
        <v>1</v>
      </c>
      <c r="F19" s="80">
        <v>0</v>
      </c>
      <c r="G19" s="81">
        <v>1</v>
      </c>
      <c r="H19" s="81">
        <v>0</v>
      </c>
      <c r="I19" s="81">
        <v>1</v>
      </c>
      <c r="J19" s="40">
        <v>0</v>
      </c>
      <c r="K19" s="40">
        <v>0</v>
      </c>
      <c r="L19" s="40">
        <v>1</v>
      </c>
      <c r="M19" s="40">
        <v>0</v>
      </c>
      <c r="N19" s="80">
        <v>0</v>
      </c>
      <c r="O19" s="27">
        <v>1</v>
      </c>
      <c r="P19" s="27">
        <v>1</v>
      </c>
      <c r="Q19" s="27">
        <v>1</v>
      </c>
      <c r="R19" s="27">
        <v>1</v>
      </c>
      <c r="S19" s="80">
        <v>0</v>
      </c>
      <c r="T19" s="80">
        <v>0</v>
      </c>
      <c r="U19" s="80">
        <v>0</v>
      </c>
      <c r="V19" s="80">
        <v>0</v>
      </c>
      <c r="W19" s="39">
        <v>0</v>
      </c>
      <c r="X19" s="39">
        <v>1</v>
      </c>
      <c r="Y19" s="39">
        <v>0</v>
      </c>
      <c r="Z19" s="39">
        <v>0</v>
      </c>
      <c r="AA19" s="80">
        <v>0</v>
      </c>
      <c r="AB19" s="80">
        <v>0</v>
      </c>
      <c r="AC19" s="80">
        <v>0</v>
      </c>
      <c r="AD19" s="80">
        <v>0</v>
      </c>
      <c r="AE19" s="25">
        <v>0</v>
      </c>
      <c r="AF19" s="25">
        <v>0</v>
      </c>
      <c r="AG19" s="25">
        <v>0</v>
      </c>
      <c r="AH19" s="25">
        <v>1</v>
      </c>
      <c r="AM19" s="1"/>
      <c r="AN19" s="1"/>
      <c r="AO19" s="1"/>
      <c r="AP19" s="1"/>
    </row>
    <row r="20" spans="2:47">
      <c r="B20" t="s">
        <v>200</v>
      </c>
      <c r="C20" s="81">
        <v>1</v>
      </c>
      <c r="D20" s="81">
        <v>1</v>
      </c>
      <c r="E20" s="81">
        <v>1</v>
      </c>
      <c r="F20" s="80">
        <v>0</v>
      </c>
      <c r="G20" s="81">
        <v>1</v>
      </c>
      <c r="H20" s="81">
        <v>0</v>
      </c>
      <c r="I20" s="81">
        <v>1</v>
      </c>
      <c r="J20" s="40">
        <v>0</v>
      </c>
      <c r="K20" s="40">
        <v>0</v>
      </c>
      <c r="L20" s="40">
        <v>1</v>
      </c>
      <c r="M20" s="40">
        <v>0</v>
      </c>
      <c r="N20" s="80">
        <v>0</v>
      </c>
      <c r="O20" s="27">
        <v>0</v>
      </c>
      <c r="P20" s="27">
        <v>0</v>
      </c>
      <c r="Q20" s="27">
        <v>1</v>
      </c>
      <c r="R20" s="27">
        <v>0</v>
      </c>
      <c r="S20" s="80">
        <v>0</v>
      </c>
      <c r="T20" s="80">
        <v>0</v>
      </c>
      <c r="U20" s="80">
        <v>0</v>
      </c>
      <c r="V20" s="80">
        <v>0</v>
      </c>
      <c r="W20" s="39">
        <v>0</v>
      </c>
      <c r="X20" s="39">
        <v>1</v>
      </c>
      <c r="Y20" s="39">
        <v>0</v>
      </c>
      <c r="Z20" s="39">
        <v>0</v>
      </c>
      <c r="AA20" s="80">
        <v>0</v>
      </c>
      <c r="AB20" s="80">
        <v>0</v>
      </c>
      <c r="AC20" s="80">
        <v>0</v>
      </c>
      <c r="AD20" s="80">
        <v>0</v>
      </c>
      <c r="AE20" s="25">
        <v>0</v>
      </c>
      <c r="AF20" s="25">
        <v>0</v>
      </c>
      <c r="AG20" s="25">
        <v>0</v>
      </c>
      <c r="AH20" s="25">
        <v>1</v>
      </c>
      <c r="AK20" s="1"/>
      <c r="AM20" s="1"/>
      <c r="AN20" s="1"/>
      <c r="AO20" s="1"/>
      <c r="AP20" s="1"/>
      <c r="AR20"/>
      <c r="AS20"/>
      <c r="AT20"/>
      <c r="AU20"/>
    </row>
    <row r="21" spans="2:47">
      <c r="B21" t="s">
        <v>201</v>
      </c>
      <c r="C21" s="81">
        <v>1</v>
      </c>
      <c r="D21" s="81">
        <v>1</v>
      </c>
      <c r="E21" s="81">
        <v>1</v>
      </c>
      <c r="F21" s="80">
        <v>0</v>
      </c>
      <c r="G21" s="81">
        <v>1</v>
      </c>
      <c r="H21" s="81">
        <v>0</v>
      </c>
      <c r="I21" s="81">
        <v>1</v>
      </c>
      <c r="J21" s="40">
        <v>1</v>
      </c>
      <c r="K21" s="40">
        <v>1</v>
      </c>
      <c r="L21" s="40">
        <v>0</v>
      </c>
      <c r="M21" s="40">
        <v>1</v>
      </c>
      <c r="N21" s="80">
        <v>0</v>
      </c>
      <c r="O21" s="27">
        <v>0</v>
      </c>
      <c r="P21" s="27">
        <v>0</v>
      </c>
      <c r="Q21" s="27">
        <v>1</v>
      </c>
      <c r="R21" s="27">
        <v>0</v>
      </c>
      <c r="S21" s="80">
        <v>0</v>
      </c>
      <c r="T21" s="80">
        <v>0</v>
      </c>
      <c r="U21" s="80">
        <v>0</v>
      </c>
      <c r="V21" s="80">
        <v>0</v>
      </c>
      <c r="W21" s="39">
        <v>0</v>
      </c>
      <c r="X21" s="39">
        <v>1</v>
      </c>
      <c r="Y21" s="39">
        <v>0</v>
      </c>
      <c r="Z21" s="39">
        <v>0</v>
      </c>
      <c r="AA21" s="80">
        <v>0</v>
      </c>
      <c r="AB21" s="80">
        <v>0</v>
      </c>
      <c r="AC21" s="80">
        <v>0</v>
      </c>
      <c r="AD21" s="80">
        <v>0</v>
      </c>
      <c r="AE21" s="25">
        <v>0</v>
      </c>
      <c r="AF21" s="25">
        <v>0</v>
      </c>
      <c r="AG21" s="25">
        <v>0</v>
      </c>
      <c r="AH21" s="25">
        <v>1</v>
      </c>
      <c r="AM21" s="1"/>
      <c r="AN21" s="1"/>
      <c r="AO21" s="1"/>
      <c r="AP21" s="1"/>
      <c r="AR21"/>
      <c r="AS21"/>
      <c r="AT21"/>
      <c r="AU21"/>
    </row>
    <row r="22" spans="2:47">
      <c r="C22" s="3"/>
      <c r="D22" s="3"/>
      <c r="E22" s="3"/>
      <c r="F22" s="3"/>
      <c r="G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M22" s="1"/>
      <c r="AN22" s="1"/>
      <c r="AO22" s="1"/>
      <c r="AP22" s="1"/>
      <c r="AR22"/>
      <c r="AS22"/>
      <c r="AT22"/>
      <c r="AU22"/>
    </row>
    <row r="23" spans="2:47">
      <c r="AM23" s="1"/>
      <c r="AN23" s="1"/>
      <c r="AO23" s="1"/>
      <c r="AP23" s="1"/>
      <c r="AR23"/>
      <c r="AS23"/>
      <c r="AT23"/>
      <c r="AU23"/>
    </row>
    <row r="24" spans="2:47">
      <c r="AM24" s="1"/>
      <c r="AN24" s="1"/>
      <c r="AO24" s="1"/>
      <c r="AP24" s="1"/>
      <c r="AR24"/>
      <c r="AS24"/>
      <c r="AT24"/>
      <c r="AU24"/>
    </row>
    <row r="25" spans="2:47">
      <c r="AM25" s="1"/>
      <c r="AN25" s="1"/>
      <c r="AO25" s="1"/>
      <c r="AP25" s="1"/>
      <c r="AR25"/>
      <c r="AS25"/>
      <c r="AT25"/>
      <c r="AU25"/>
    </row>
    <row r="26" spans="2:47">
      <c r="AM26" s="1"/>
      <c r="AN26" s="1"/>
      <c r="AO26" s="1"/>
      <c r="AP26" s="1"/>
      <c r="AR26"/>
      <c r="AS26"/>
      <c r="AT26"/>
      <c r="AU26"/>
    </row>
    <row r="27" spans="2:47">
      <c r="AM27" s="1"/>
      <c r="AN27" s="1"/>
      <c r="AO27" s="1"/>
      <c r="AP27" s="1"/>
      <c r="AR27"/>
      <c r="AS27"/>
      <c r="AT27"/>
      <c r="AU27"/>
    </row>
    <row r="28" spans="2:47">
      <c r="AK28" s="1"/>
      <c r="AM28" s="1"/>
      <c r="AN28" s="1"/>
      <c r="AO28" s="1"/>
      <c r="AP28" s="1"/>
      <c r="AR28"/>
      <c r="AS28"/>
      <c r="AT28"/>
      <c r="AU28"/>
    </row>
  </sheetData>
  <mergeCells count="12">
    <mergeCell ref="J3:R3"/>
    <mergeCell ref="S3:AH3"/>
    <mergeCell ref="C4:E4"/>
    <mergeCell ref="G4:I4"/>
    <mergeCell ref="AK10:AQ10"/>
    <mergeCell ref="J4:M4"/>
    <mergeCell ref="O4:R4"/>
    <mergeCell ref="T4:V4"/>
    <mergeCell ref="W4:Z4"/>
    <mergeCell ref="AA4:AB4"/>
    <mergeCell ref="AE4:AH4"/>
    <mergeCell ref="AC4:AD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2:AT28"/>
  <sheetViews>
    <sheetView workbookViewId="0">
      <selection activeCell="N5" sqref="N5"/>
    </sheetView>
  </sheetViews>
  <sheetFormatPr baseColWidth="10" defaultRowHeight="15"/>
  <cols>
    <col min="2" max="2" width="28.5703125" bestFit="1" customWidth="1"/>
    <col min="3" max="18" width="2.85546875" style="1" customWidth="1"/>
    <col min="19" max="19" width="3.85546875" style="1" customWidth="1"/>
    <col min="20" max="34" width="2.85546875" style="1" customWidth="1"/>
    <col min="35" max="35" width="17.140625" bestFit="1" customWidth="1"/>
    <col min="36" max="36" width="16.85546875" customWidth="1"/>
    <col min="37" max="37" width="21.85546875" bestFit="1" customWidth="1"/>
    <col min="38" max="38" width="6" bestFit="1" customWidth="1"/>
    <col min="39" max="39" width="7.140625" customWidth="1"/>
    <col min="40" max="40" width="6" bestFit="1" customWidth="1"/>
    <col min="41" max="41" width="10.42578125" bestFit="1" customWidth="1"/>
    <col min="42" max="42" width="17.5703125" bestFit="1" customWidth="1"/>
    <col min="43" max="43" width="6" style="1" bestFit="1" customWidth="1"/>
    <col min="44" max="45" width="7" style="1" bestFit="1" customWidth="1"/>
    <col min="46" max="46" width="6" style="1" bestFit="1" customWidth="1"/>
  </cols>
  <sheetData>
    <row r="2" spans="2:42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  <c r="AJ2" t="s">
        <v>3</v>
      </c>
    </row>
    <row r="3" spans="2:42">
      <c r="B3" s="4" t="s">
        <v>58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0</v>
      </c>
      <c r="I3" s="5">
        <v>0</v>
      </c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</row>
    <row r="4" spans="2:42">
      <c r="B4" t="s">
        <v>50</v>
      </c>
      <c r="C4" s="88"/>
      <c r="D4" s="88"/>
      <c r="E4" s="88"/>
      <c r="F4" s="88"/>
      <c r="G4" s="88"/>
      <c r="H4" s="88"/>
      <c r="I4" s="88"/>
      <c r="J4" s="1" t="s">
        <v>7</v>
      </c>
      <c r="K4" s="1">
        <v>1</v>
      </c>
      <c r="L4" s="88" t="s">
        <v>59</v>
      </c>
      <c r="M4" s="88"/>
      <c r="N4" s="1" t="s">
        <v>60</v>
      </c>
      <c r="O4" s="88" t="s">
        <v>8</v>
      </c>
      <c r="P4" s="88"/>
      <c r="Q4" s="88"/>
      <c r="R4" s="88"/>
      <c r="S4" s="88" t="s">
        <v>61</v>
      </c>
      <c r="T4" s="88"/>
      <c r="U4" s="88"/>
      <c r="V4" s="88"/>
      <c r="W4" s="88" t="s">
        <v>62</v>
      </c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J4" t="s">
        <v>96</v>
      </c>
    </row>
    <row r="5" spans="2:42">
      <c r="B5" s="8" t="s">
        <v>67</v>
      </c>
      <c r="C5" s="3"/>
      <c r="D5" s="3"/>
      <c r="E5" s="3"/>
      <c r="F5" s="3"/>
      <c r="G5" s="3"/>
      <c r="H5" s="3"/>
      <c r="I5" s="3"/>
      <c r="J5" s="2" t="s">
        <v>7</v>
      </c>
      <c r="K5" s="88"/>
      <c r="L5" s="88"/>
      <c r="M5" s="88"/>
      <c r="N5" s="1">
        <v>1</v>
      </c>
      <c r="O5" s="88" t="s">
        <v>8</v>
      </c>
      <c r="P5" s="88"/>
      <c r="Q5" s="88"/>
      <c r="R5" s="88"/>
      <c r="S5" s="88" t="s">
        <v>61</v>
      </c>
      <c r="T5" s="88"/>
      <c r="U5" s="88"/>
      <c r="V5" s="88"/>
      <c r="W5" s="88" t="s">
        <v>62</v>
      </c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J5" t="s">
        <v>63</v>
      </c>
    </row>
    <row r="6" spans="2:42">
      <c r="B6" s="8" t="s">
        <v>66</v>
      </c>
      <c r="C6" s="3"/>
      <c r="D6" s="3"/>
      <c r="E6" s="3"/>
      <c r="F6" s="3"/>
      <c r="G6" s="3"/>
      <c r="H6" s="3"/>
      <c r="I6" s="3"/>
      <c r="J6" s="1">
        <v>0</v>
      </c>
      <c r="K6" s="88"/>
      <c r="L6" s="88"/>
      <c r="M6" s="88"/>
      <c r="N6" s="1">
        <v>0</v>
      </c>
      <c r="O6" s="88" t="s">
        <v>8</v>
      </c>
      <c r="P6" s="88"/>
      <c r="Q6" s="88"/>
      <c r="R6" s="88"/>
      <c r="S6" s="88" t="s">
        <v>61</v>
      </c>
      <c r="T6" s="88"/>
      <c r="U6" s="88"/>
      <c r="V6" s="88"/>
      <c r="W6" s="88" t="s">
        <v>62</v>
      </c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J6" t="s">
        <v>64</v>
      </c>
    </row>
    <row r="7" spans="2:42">
      <c r="C7" s="3"/>
      <c r="D7" s="3"/>
      <c r="E7" s="3"/>
      <c r="G7" s="3"/>
      <c r="H7" s="3"/>
      <c r="I7" s="3"/>
      <c r="AJ7" t="s">
        <v>65</v>
      </c>
    </row>
    <row r="8" spans="2:42">
      <c r="C8" s="3"/>
      <c r="D8" s="3"/>
      <c r="E8" s="3"/>
      <c r="G8" s="3"/>
      <c r="H8" s="3"/>
      <c r="I8" s="3"/>
      <c r="J8" s="2"/>
    </row>
    <row r="9" spans="2:42" ht="15.75" thickBot="1"/>
    <row r="10" spans="2:42" ht="15.75" thickBot="1">
      <c r="AJ10" s="91" t="s">
        <v>90</v>
      </c>
      <c r="AK10" s="92"/>
      <c r="AL10" s="92"/>
      <c r="AM10" s="92"/>
      <c r="AN10" s="92"/>
      <c r="AO10" s="92"/>
      <c r="AP10" s="93"/>
    </row>
    <row r="11" spans="2:42" ht="15.75" thickBot="1">
      <c r="AJ11" s="17" t="s">
        <v>37</v>
      </c>
      <c r="AK11" s="18" t="s">
        <v>0</v>
      </c>
      <c r="AL11" s="19" t="s">
        <v>7</v>
      </c>
      <c r="AM11" s="19" t="s">
        <v>59</v>
      </c>
      <c r="AN11" s="19" t="s">
        <v>60</v>
      </c>
      <c r="AO11" s="19" t="s">
        <v>61</v>
      </c>
      <c r="AP11" s="20" t="s">
        <v>40</v>
      </c>
    </row>
    <row r="12" spans="2:42">
      <c r="AJ12" s="7" t="s">
        <v>69</v>
      </c>
      <c r="AK12" s="8" t="s">
        <v>67</v>
      </c>
      <c r="AL12" s="9" t="s">
        <v>68</v>
      </c>
      <c r="AM12" s="9" t="s">
        <v>71</v>
      </c>
      <c r="AN12" s="9">
        <v>1</v>
      </c>
      <c r="AO12" s="9" t="s">
        <v>72</v>
      </c>
      <c r="AP12" s="10"/>
    </row>
    <row r="13" spans="2:42" ht="15.75" thickBot="1">
      <c r="AJ13" s="11" t="s">
        <v>70</v>
      </c>
      <c r="AK13" s="12" t="s">
        <v>66</v>
      </c>
      <c r="AL13" s="13">
        <v>0</v>
      </c>
      <c r="AM13" s="13" t="s">
        <v>95</v>
      </c>
      <c r="AN13" s="13">
        <v>0</v>
      </c>
      <c r="AO13" s="13" t="s">
        <v>72</v>
      </c>
      <c r="AP13" s="14"/>
    </row>
    <row r="14" spans="2:42">
      <c r="AJ14" s="8"/>
      <c r="AK14" s="8"/>
      <c r="AL14" s="9"/>
      <c r="AM14" s="9"/>
      <c r="AN14" s="9"/>
      <c r="AO14" s="9"/>
      <c r="AP14" s="8"/>
    </row>
    <row r="15" spans="2:42">
      <c r="B15" t="s">
        <v>103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t="s">
        <v>104</v>
      </c>
      <c r="AJ15" s="8" t="s">
        <v>105</v>
      </c>
      <c r="AK15" s="8"/>
      <c r="AL15" s="9"/>
      <c r="AM15" s="9"/>
      <c r="AN15" s="9"/>
      <c r="AO15" s="9"/>
      <c r="AP15" s="8"/>
    </row>
    <row r="16" spans="2:42">
      <c r="B16" t="s">
        <v>110</v>
      </c>
      <c r="C16" s="6">
        <v>1</v>
      </c>
      <c r="D16" s="6">
        <v>1</v>
      </c>
      <c r="E16" s="6">
        <v>1</v>
      </c>
      <c r="F16" s="6">
        <v>1</v>
      </c>
      <c r="G16" s="6">
        <v>1</v>
      </c>
      <c r="H16" s="6">
        <v>0</v>
      </c>
      <c r="I16" s="6">
        <v>0</v>
      </c>
      <c r="J16" s="1">
        <v>0</v>
      </c>
      <c r="K16" s="1">
        <v>1</v>
      </c>
      <c r="L16" s="1">
        <v>0</v>
      </c>
      <c r="M16" s="1">
        <v>0</v>
      </c>
      <c r="N16" s="1">
        <v>1</v>
      </c>
      <c r="O16" s="26">
        <v>0</v>
      </c>
      <c r="P16" s="27">
        <v>0</v>
      </c>
      <c r="Q16" s="27">
        <v>0</v>
      </c>
      <c r="R16" s="27">
        <v>1</v>
      </c>
      <c r="S16" s="25">
        <v>0</v>
      </c>
      <c r="T16" s="25">
        <v>0</v>
      </c>
      <c r="U16" s="25">
        <v>1</v>
      </c>
      <c r="V16" s="25">
        <v>0</v>
      </c>
      <c r="W16" s="30">
        <v>0</v>
      </c>
      <c r="X16" s="30">
        <v>0</v>
      </c>
      <c r="Y16" s="30">
        <v>0</v>
      </c>
      <c r="Z16" s="30">
        <v>0</v>
      </c>
      <c r="AA16" s="30">
        <v>0</v>
      </c>
      <c r="AB16" s="30">
        <v>0</v>
      </c>
      <c r="AC16" s="30">
        <v>0</v>
      </c>
      <c r="AD16" s="30">
        <v>0</v>
      </c>
      <c r="AE16" s="30">
        <v>0</v>
      </c>
      <c r="AF16" s="30">
        <v>0</v>
      </c>
      <c r="AG16" s="30">
        <v>0</v>
      </c>
      <c r="AH16" s="30">
        <v>0</v>
      </c>
      <c r="AI16" s="28" t="s">
        <v>107</v>
      </c>
      <c r="AJ16" s="29" t="s">
        <v>108</v>
      </c>
      <c r="AK16" s="8"/>
      <c r="AL16" s="22" t="s">
        <v>97</v>
      </c>
      <c r="AM16" s="9"/>
      <c r="AN16" s="9"/>
      <c r="AO16" s="9"/>
      <c r="AP16" s="8"/>
    </row>
    <row r="17" spans="2:46">
      <c r="AI17" s="28"/>
      <c r="AJ17" s="29"/>
      <c r="AK17" s="8"/>
      <c r="AL17" s="22" t="s">
        <v>98</v>
      </c>
      <c r="AM17" s="9"/>
      <c r="AN17" s="21"/>
      <c r="AO17" s="9"/>
      <c r="AP17" s="8"/>
    </row>
    <row r="18" spans="2:46">
      <c r="B18" t="s">
        <v>148</v>
      </c>
      <c r="C18" s="6">
        <v>1</v>
      </c>
      <c r="D18" s="6">
        <v>1</v>
      </c>
      <c r="E18" s="6">
        <v>1</v>
      </c>
      <c r="F18" s="6">
        <v>1</v>
      </c>
      <c r="G18" s="6">
        <v>1</v>
      </c>
      <c r="H18" s="6">
        <v>0</v>
      </c>
      <c r="I18" s="6">
        <v>0</v>
      </c>
      <c r="J18" s="2">
        <v>0</v>
      </c>
      <c r="K18" s="2">
        <v>1</v>
      </c>
      <c r="L18" s="2">
        <v>0</v>
      </c>
      <c r="M18" s="2">
        <v>0</v>
      </c>
      <c r="N18" s="2">
        <v>0</v>
      </c>
      <c r="O18" s="26">
        <v>0</v>
      </c>
      <c r="P18" s="27">
        <v>0</v>
      </c>
      <c r="Q18" s="27">
        <v>1</v>
      </c>
      <c r="R18" s="27">
        <v>0</v>
      </c>
      <c r="S18" s="25">
        <v>0</v>
      </c>
      <c r="T18" s="25">
        <v>0</v>
      </c>
      <c r="U18" s="25">
        <v>1</v>
      </c>
      <c r="V18" s="25">
        <v>1</v>
      </c>
      <c r="W18" s="30">
        <v>0</v>
      </c>
      <c r="X18" s="30">
        <v>0</v>
      </c>
      <c r="Y18" s="30">
        <v>0</v>
      </c>
      <c r="Z18" s="30">
        <v>0</v>
      </c>
      <c r="AA18" s="30">
        <v>0</v>
      </c>
      <c r="AB18" s="30">
        <v>0</v>
      </c>
      <c r="AC18" s="30">
        <v>0</v>
      </c>
      <c r="AD18" s="30">
        <v>0</v>
      </c>
      <c r="AE18" s="30">
        <v>0</v>
      </c>
      <c r="AF18" s="30">
        <v>0</v>
      </c>
      <c r="AG18" s="30">
        <v>0</v>
      </c>
      <c r="AH18" s="30">
        <v>0</v>
      </c>
      <c r="AI18" s="28" t="s">
        <v>109</v>
      </c>
      <c r="AJ18" s="29" t="s">
        <v>149</v>
      </c>
      <c r="AK18" s="8"/>
      <c r="AL18" s="22" t="s">
        <v>99</v>
      </c>
      <c r="AM18" s="9"/>
      <c r="AN18" s="9"/>
      <c r="AO18" s="9"/>
      <c r="AP18" s="8"/>
    </row>
    <row r="19" spans="2:46">
      <c r="AI19" s="28"/>
      <c r="AJ19" s="29"/>
      <c r="AM19" s="1"/>
      <c r="AN19" s="1"/>
      <c r="AO19" s="1"/>
    </row>
    <row r="20" spans="2:46">
      <c r="B20" s="2" t="s">
        <v>119</v>
      </c>
      <c r="C20" s="3"/>
      <c r="D20" s="3"/>
      <c r="E20" s="3"/>
      <c r="F20" s="3"/>
      <c r="G20" s="3"/>
      <c r="J20" s="3"/>
      <c r="K20" s="3"/>
      <c r="L20" s="3"/>
      <c r="M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28"/>
      <c r="AJ20" s="29"/>
      <c r="AL20" s="22" t="s">
        <v>101</v>
      </c>
      <c r="AM20" s="1"/>
      <c r="AN20" s="1"/>
      <c r="AO20" s="1"/>
      <c r="AQ20"/>
      <c r="AR20"/>
      <c r="AS20"/>
      <c r="AT20"/>
    </row>
    <row r="21" spans="2:46">
      <c r="B21" s="2" t="s">
        <v>120</v>
      </c>
      <c r="D21" s="3"/>
      <c r="E21" s="3"/>
      <c r="F21" s="3"/>
      <c r="G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28"/>
      <c r="AJ21" s="29"/>
      <c r="AL21" s="22" t="s">
        <v>102</v>
      </c>
      <c r="AM21" s="1"/>
      <c r="AN21" s="1"/>
      <c r="AO21" s="1"/>
      <c r="AQ21"/>
      <c r="AR21"/>
      <c r="AS21"/>
      <c r="AT21"/>
    </row>
    <row r="22" spans="2:46">
      <c r="B22" s="1"/>
      <c r="D22" s="3"/>
      <c r="E22" s="3"/>
      <c r="F22" s="3"/>
      <c r="G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28"/>
      <c r="AJ22" s="29"/>
      <c r="AL22" s="1"/>
      <c r="AM22" s="1"/>
      <c r="AN22" s="1"/>
      <c r="AO22" s="1"/>
      <c r="AQ22"/>
      <c r="AR22"/>
      <c r="AS22"/>
      <c r="AT22"/>
    </row>
    <row r="23" spans="2:46">
      <c r="AI23" s="28"/>
      <c r="AJ23" s="29"/>
      <c r="AL23" s="1"/>
      <c r="AM23" s="1"/>
      <c r="AN23" s="1"/>
      <c r="AO23" s="1"/>
      <c r="AQ23"/>
      <c r="AR23"/>
      <c r="AS23"/>
      <c r="AT23"/>
    </row>
    <row r="24" spans="2:46">
      <c r="AI24" s="28"/>
      <c r="AJ24" s="29"/>
      <c r="AL24" s="1"/>
      <c r="AM24" s="1"/>
      <c r="AN24" s="1"/>
      <c r="AO24" s="1"/>
      <c r="AQ24"/>
      <c r="AR24"/>
      <c r="AS24"/>
      <c r="AT24"/>
    </row>
    <row r="25" spans="2:46">
      <c r="AI25" s="28"/>
      <c r="AJ25" s="29"/>
      <c r="AL25" s="1"/>
      <c r="AM25" s="1"/>
      <c r="AN25" s="1"/>
      <c r="AO25" s="1"/>
      <c r="AQ25"/>
      <c r="AR25"/>
      <c r="AS25"/>
      <c r="AT25"/>
    </row>
    <row r="26" spans="2:46">
      <c r="AI26" s="28"/>
      <c r="AJ26" s="29"/>
      <c r="AL26" s="1"/>
      <c r="AM26" s="1"/>
      <c r="AN26" s="1"/>
      <c r="AO26" s="1"/>
      <c r="AQ26"/>
      <c r="AR26"/>
      <c r="AS26"/>
      <c r="AT26"/>
    </row>
    <row r="27" spans="2:46">
      <c r="AI27" s="28"/>
      <c r="AJ27" s="29"/>
      <c r="AL27" s="1"/>
      <c r="AM27" s="1"/>
      <c r="AN27" s="1"/>
      <c r="AO27" s="1"/>
      <c r="AQ27"/>
      <c r="AR27"/>
      <c r="AS27"/>
      <c r="AT27"/>
    </row>
    <row r="28" spans="2:46">
      <c r="AJ28" s="1"/>
      <c r="AL28" s="1"/>
      <c r="AM28" s="1"/>
      <c r="AN28" s="1"/>
      <c r="AO28" s="1"/>
      <c r="AQ28"/>
      <c r="AR28"/>
      <c r="AS28"/>
      <c r="AT28"/>
    </row>
  </sheetData>
  <mergeCells count="16">
    <mergeCell ref="AJ10:AP10"/>
    <mergeCell ref="W4:AH4"/>
    <mergeCell ref="S4:V4"/>
    <mergeCell ref="L4:M4"/>
    <mergeCell ref="C4:I4"/>
    <mergeCell ref="W5:AH5"/>
    <mergeCell ref="W6:AH6"/>
    <mergeCell ref="L5:M6"/>
    <mergeCell ref="K5:K6"/>
    <mergeCell ref="O6:R6"/>
    <mergeCell ref="S6:V6"/>
    <mergeCell ref="J3:R3"/>
    <mergeCell ref="S3:AH3"/>
    <mergeCell ref="O4:R4"/>
    <mergeCell ref="O5:R5"/>
    <mergeCell ref="S5:V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2:AT44"/>
  <sheetViews>
    <sheetView workbookViewId="0">
      <selection activeCell="K18" sqref="K18"/>
    </sheetView>
  </sheetViews>
  <sheetFormatPr baseColWidth="10" defaultRowHeight="15"/>
  <cols>
    <col min="2" max="2" width="17.85546875" bestFit="1" customWidth="1"/>
    <col min="3" max="23" width="3" style="1" bestFit="1" customWidth="1"/>
    <col min="24" max="34" width="3" style="1" customWidth="1"/>
    <col min="35" max="35" width="17.140625" bestFit="1" customWidth="1"/>
    <col min="36" max="36" width="17.85546875" customWidth="1"/>
    <col min="37" max="37" width="27" customWidth="1"/>
    <col min="38" max="38" width="19.140625" customWidth="1"/>
    <col min="39" max="39" width="10.7109375" bestFit="1" customWidth="1"/>
    <col min="40" max="40" width="6" bestFit="1" customWidth="1"/>
    <col min="41" max="41" width="10.42578125" bestFit="1" customWidth="1"/>
    <col min="42" max="42" width="17.5703125" bestFit="1" customWidth="1"/>
    <col min="43" max="43" width="6" style="1" bestFit="1" customWidth="1"/>
    <col min="44" max="45" width="7" style="1" bestFit="1" customWidth="1"/>
    <col min="46" max="46" width="6" style="1" bestFit="1" customWidth="1"/>
  </cols>
  <sheetData>
    <row r="2" spans="2:46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  <c r="AJ2" t="s">
        <v>3</v>
      </c>
    </row>
    <row r="3" spans="2:46">
      <c r="B3" s="4" t="s">
        <v>73</v>
      </c>
      <c r="C3" s="5">
        <v>1</v>
      </c>
      <c r="D3" s="5">
        <v>1</v>
      </c>
      <c r="E3" s="5">
        <v>1</v>
      </c>
      <c r="F3" s="5">
        <v>1</v>
      </c>
      <c r="G3" s="5">
        <v>0</v>
      </c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5">
        <v>1</v>
      </c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</row>
    <row r="4" spans="2:46">
      <c r="B4" t="s">
        <v>74</v>
      </c>
      <c r="C4" s="88"/>
      <c r="D4" s="88"/>
      <c r="E4" s="88"/>
      <c r="F4" s="88"/>
      <c r="G4" s="88"/>
      <c r="H4" s="1" t="s">
        <v>7</v>
      </c>
      <c r="I4" s="88" t="s">
        <v>75</v>
      </c>
      <c r="J4" s="88"/>
      <c r="K4" s="88"/>
      <c r="L4" s="88"/>
      <c r="M4" s="88"/>
      <c r="N4" s="88"/>
      <c r="O4" s="88"/>
      <c r="P4" s="88"/>
      <c r="Q4" s="88"/>
      <c r="R4" s="88"/>
      <c r="S4" s="88"/>
      <c r="T4" s="1">
        <v>0</v>
      </c>
      <c r="U4" s="1" t="s">
        <v>87</v>
      </c>
      <c r="V4" s="1">
        <v>1</v>
      </c>
      <c r="W4" s="1" t="s">
        <v>88</v>
      </c>
      <c r="X4" s="88" t="s">
        <v>78</v>
      </c>
      <c r="Y4" s="88"/>
      <c r="Z4" s="88"/>
      <c r="AA4" s="88"/>
      <c r="AB4" s="88"/>
      <c r="AC4" s="88"/>
      <c r="AD4" s="88"/>
      <c r="AE4" s="88"/>
      <c r="AF4" s="88"/>
      <c r="AG4" s="88"/>
      <c r="AH4" s="88"/>
      <c r="AJ4" s="3" t="s">
        <v>100</v>
      </c>
      <c r="AK4" s="3"/>
      <c r="AL4" s="3"/>
      <c r="AM4" s="3"/>
    </row>
    <row r="5" spans="2:46">
      <c r="B5" s="8" t="s">
        <v>79</v>
      </c>
      <c r="C5" s="88"/>
      <c r="D5" s="88"/>
      <c r="E5" s="88"/>
      <c r="F5" s="88"/>
      <c r="G5" s="88"/>
      <c r="H5" s="1" t="s">
        <v>7</v>
      </c>
      <c r="I5" s="88" t="s">
        <v>80</v>
      </c>
      <c r="J5" s="88"/>
      <c r="K5" s="88"/>
      <c r="L5" s="88"/>
      <c r="M5" s="88" t="s">
        <v>81</v>
      </c>
      <c r="N5" s="88"/>
      <c r="O5" s="88"/>
      <c r="P5" s="88"/>
      <c r="Q5" s="88"/>
      <c r="R5" s="88"/>
      <c r="S5" s="88"/>
      <c r="T5" s="1">
        <v>0</v>
      </c>
      <c r="U5" s="1" t="s">
        <v>76</v>
      </c>
      <c r="V5" s="1">
        <v>0</v>
      </c>
      <c r="W5" s="1" t="s">
        <v>77</v>
      </c>
      <c r="X5" s="88" t="s">
        <v>78</v>
      </c>
      <c r="Y5" s="88"/>
      <c r="Z5" s="88"/>
      <c r="AA5" s="88"/>
      <c r="AB5" s="88"/>
      <c r="AC5" s="88"/>
      <c r="AD5" s="88"/>
      <c r="AE5" s="88"/>
      <c r="AF5" s="88"/>
      <c r="AG5" s="88"/>
      <c r="AH5" s="88"/>
      <c r="AJ5" t="s">
        <v>85</v>
      </c>
      <c r="AK5" t="s">
        <v>82</v>
      </c>
    </row>
    <row r="6" spans="2:46">
      <c r="B6" s="8"/>
      <c r="C6" s="3"/>
      <c r="D6" s="3"/>
      <c r="E6" s="3"/>
      <c r="F6" s="3"/>
      <c r="G6" s="3"/>
      <c r="K6" s="80" t="s">
        <v>207</v>
      </c>
      <c r="L6" s="80" t="s">
        <v>208</v>
      </c>
      <c r="S6" s="3"/>
      <c r="AJ6" t="s">
        <v>86</v>
      </c>
      <c r="AK6" t="s">
        <v>83</v>
      </c>
    </row>
    <row r="7" spans="2:46">
      <c r="AJ7" t="s">
        <v>89</v>
      </c>
    </row>
    <row r="8" spans="2:46">
      <c r="AJ8" t="s">
        <v>84</v>
      </c>
    </row>
    <row r="10" spans="2:46">
      <c r="AJ10" s="1"/>
      <c r="AK10" s="1"/>
      <c r="AL10" s="1"/>
      <c r="AM10" s="1"/>
      <c r="AQ10"/>
      <c r="AR10"/>
      <c r="AS10"/>
      <c r="AT10"/>
    </row>
    <row r="11" spans="2:46">
      <c r="AJ11" s="1"/>
      <c r="AK11" s="1"/>
      <c r="AL11" s="1"/>
      <c r="AM11" s="1"/>
      <c r="AQ11"/>
      <c r="AR11"/>
      <c r="AS11"/>
      <c r="AT11"/>
    </row>
    <row r="12" spans="2:46">
      <c r="AJ12" s="1"/>
      <c r="AK12" s="1"/>
      <c r="AL12" s="1"/>
      <c r="AM12" s="1"/>
      <c r="AQ12"/>
      <c r="AR12"/>
      <c r="AS12"/>
      <c r="AT12"/>
    </row>
    <row r="13" spans="2:46">
      <c r="AJ13" s="1"/>
      <c r="AK13" s="1"/>
      <c r="AL13" s="1"/>
      <c r="AM13" s="1"/>
      <c r="AQ13"/>
      <c r="AR13"/>
      <c r="AS13"/>
      <c r="AT13"/>
    </row>
    <row r="14" spans="2:46">
      <c r="B14" t="s">
        <v>103</v>
      </c>
      <c r="AI14" t="s">
        <v>104</v>
      </c>
      <c r="AJ14" s="8" t="s">
        <v>105</v>
      </c>
      <c r="AK14" s="8"/>
      <c r="AL14" s="9"/>
      <c r="AM14" s="9"/>
      <c r="AN14" s="9"/>
      <c r="AO14" s="9"/>
      <c r="AP14" s="8"/>
    </row>
    <row r="15" spans="2:46">
      <c r="B15" t="s">
        <v>124</v>
      </c>
      <c r="C15" s="6">
        <v>1</v>
      </c>
      <c r="D15" s="6">
        <v>1</v>
      </c>
      <c r="E15" s="6">
        <v>1</v>
      </c>
      <c r="F15" s="6">
        <v>1</v>
      </c>
      <c r="G15" s="6">
        <v>0</v>
      </c>
      <c r="H15" s="1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6">
        <v>1</v>
      </c>
      <c r="T15" s="1">
        <v>0</v>
      </c>
      <c r="U15" s="30">
        <v>0</v>
      </c>
      <c r="V15" s="1">
        <v>1</v>
      </c>
      <c r="W15" s="30">
        <v>0</v>
      </c>
      <c r="X15" s="30">
        <v>0</v>
      </c>
      <c r="Y15" s="30">
        <v>0</v>
      </c>
      <c r="Z15" s="30">
        <v>1</v>
      </c>
      <c r="AA15" s="30">
        <v>1</v>
      </c>
      <c r="AB15" s="30">
        <v>0</v>
      </c>
      <c r="AC15" s="30">
        <v>0</v>
      </c>
      <c r="AD15" s="30">
        <v>0</v>
      </c>
      <c r="AE15" s="30">
        <v>0</v>
      </c>
      <c r="AF15" s="30">
        <v>0</v>
      </c>
      <c r="AG15" s="30">
        <v>0</v>
      </c>
      <c r="AH15" s="30">
        <v>0</v>
      </c>
      <c r="AI15" s="24" t="s">
        <v>106</v>
      </c>
      <c r="AJ15" s="24" t="s">
        <v>125</v>
      </c>
      <c r="AK15" s="23"/>
      <c r="AL15" s="9"/>
      <c r="AM15" s="9"/>
      <c r="AN15" s="9"/>
      <c r="AO15" s="9"/>
      <c r="AP15" s="8"/>
    </row>
    <row r="16" spans="2:46">
      <c r="B16" t="s">
        <v>132</v>
      </c>
      <c r="C16" s="37">
        <v>1</v>
      </c>
      <c r="D16" s="37">
        <v>1</v>
      </c>
      <c r="E16" s="37">
        <v>1</v>
      </c>
      <c r="F16" s="37">
        <v>1</v>
      </c>
      <c r="G16" s="37">
        <v>0</v>
      </c>
      <c r="H16" s="36">
        <v>1</v>
      </c>
      <c r="I16" s="30">
        <v>1</v>
      </c>
      <c r="J16" s="30">
        <v>1</v>
      </c>
      <c r="K16" s="30">
        <v>1</v>
      </c>
      <c r="L16" s="30">
        <v>1</v>
      </c>
      <c r="M16" s="30">
        <v>1</v>
      </c>
      <c r="N16" s="30">
        <v>1</v>
      </c>
      <c r="O16" s="30">
        <v>1</v>
      </c>
      <c r="P16" s="30">
        <v>1</v>
      </c>
      <c r="Q16" s="30">
        <v>1</v>
      </c>
      <c r="R16" s="30">
        <v>1</v>
      </c>
      <c r="S16" s="37">
        <v>1</v>
      </c>
      <c r="T16" s="36">
        <v>0</v>
      </c>
      <c r="U16" s="30">
        <v>1</v>
      </c>
      <c r="V16" s="36">
        <v>1</v>
      </c>
      <c r="W16" s="30">
        <v>1</v>
      </c>
      <c r="X16" s="30">
        <v>1</v>
      </c>
      <c r="Y16" s="30">
        <v>1</v>
      </c>
      <c r="Z16" s="30">
        <v>1</v>
      </c>
      <c r="AA16" s="30">
        <v>1</v>
      </c>
      <c r="AB16" s="30">
        <v>1</v>
      </c>
      <c r="AC16" s="30">
        <v>1</v>
      </c>
      <c r="AD16" s="30">
        <v>1</v>
      </c>
      <c r="AE16" s="30">
        <v>0</v>
      </c>
      <c r="AF16" s="30">
        <v>1</v>
      </c>
      <c r="AG16" s="30">
        <v>0</v>
      </c>
      <c r="AH16" s="30">
        <v>0</v>
      </c>
      <c r="AI16" s="24" t="s">
        <v>130</v>
      </c>
      <c r="AJ16" s="24" t="s">
        <v>131</v>
      </c>
      <c r="AK16" t="s">
        <v>133</v>
      </c>
      <c r="AL16" s="9"/>
      <c r="AM16" s="9"/>
      <c r="AN16" s="9"/>
      <c r="AO16" s="9"/>
      <c r="AP16" s="8"/>
    </row>
    <row r="17" spans="2:46">
      <c r="AJ17" s="8"/>
      <c r="AK17" s="8"/>
      <c r="AL17" s="9"/>
      <c r="AM17" s="9"/>
      <c r="AN17" s="9"/>
      <c r="AO17" s="9"/>
      <c r="AP17" s="8"/>
    </row>
    <row r="18" spans="2:46">
      <c r="B18" t="s">
        <v>204</v>
      </c>
      <c r="C18" s="81">
        <v>1</v>
      </c>
      <c r="D18" s="81">
        <v>1</v>
      </c>
      <c r="E18" s="81">
        <v>1</v>
      </c>
      <c r="F18" s="81">
        <v>1</v>
      </c>
      <c r="G18" s="81">
        <v>0</v>
      </c>
      <c r="H18" s="80">
        <v>1</v>
      </c>
      <c r="I18" s="83">
        <v>0</v>
      </c>
      <c r="J18" s="83">
        <v>0</v>
      </c>
      <c r="K18" s="83">
        <v>0</v>
      </c>
      <c r="L18" s="83">
        <v>1</v>
      </c>
      <c r="M18" s="30">
        <v>1</v>
      </c>
      <c r="N18" s="30">
        <v>1</v>
      </c>
      <c r="O18" s="30">
        <v>1</v>
      </c>
      <c r="P18" s="30">
        <v>1</v>
      </c>
      <c r="Q18" s="30">
        <v>1</v>
      </c>
      <c r="R18" s="30">
        <v>1</v>
      </c>
      <c r="S18" s="81">
        <v>1</v>
      </c>
      <c r="T18" s="80">
        <v>0</v>
      </c>
      <c r="U18" s="30">
        <v>1</v>
      </c>
      <c r="V18" s="80">
        <v>0</v>
      </c>
      <c r="W18" s="30">
        <v>1</v>
      </c>
      <c r="X18" s="30">
        <v>1</v>
      </c>
      <c r="Y18" s="30">
        <v>1</v>
      </c>
      <c r="Z18" s="30">
        <v>1</v>
      </c>
      <c r="AA18" s="30">
        <v>1</v>
      </c>
      <c r="AB18" s="30">
        <v>1</v>
      </c>
      <c r="AC18" s="30">
        <v>1</v>
      </c>
      <c r="AD18" s="30">
        <v>1</v>
      </c>
      <c r="AE18" s="30">
        <v>0</v>
      </c>
      <c r="AF18" s="30">
        <v>1</v>
      </c>
      <c r="AG18" s="30">
        <v>0</v>
      </c>
      <c r="AH18" s="30">
        <v>0</v>
      </c>
      <c r="AJ18" s="8"/>
      <c r="AK18" s="8"/>
      <c r="AL18" s="9"/>
      <c r="AM18" s="9"/>
      <c r="AN18" s="9"/>
      <c r="AO18" s="9"/>
      <c r="AP18" s="8"/>
    </row>
    <row r="19" spans="2:46">
      <c r="B19" t="s">
        <v>205</v>
      </c>
      <c r="C19" s="81">
        <v>1</v>
      </c>
      <c r="D19" s="81">
        <v>1</v>
      </c>
      <c r="E19" s="81">
        <v>1</v>
      </c>
      <c r="F19" s="81">
        <v>1</v>
      </c>
      <c r="G19" s="81">
        <v>0</v>
      </c>
      <c r="H19" s="80">
        <v>1</v>
      </c>
      <c r="I19" s="83">
        <v>0</v>
      </c>
      <c r="J19" s="83">
        <v>0</v>
      </c>
      <c r="K19" s="83">
        <v>0</v>
      </c>
      <c r="L19" s="83">
        <v>0</v>
      </c>
      <c r="M19" s="30">
        <v>1</v>
      </c>
      <c r="N19" s="30">
        <v>1</v>
      </c>
      <c r="O19" s="30">
        <v>1</v>
      </c>
      <c r="P19" s="30">
        <v>1</v>
      </c>
      <c r="Q19" s="30">
        <v>1</v>
      </c>
      <c r="R19" s="30">
        <v>1</v>
      </c>
      <c r="S19" s="81">
        <v>1</v>
      </c>
      <c r="T19" s="80">
        <v>0</v>
      </c>
      <c r="U19" s="30">
        <v>1</v>
      </c>
      <c r="V19" s="80">
        <v>0</v>
      </c>
      <c r="W19" s="30">
        <v>1</v>
      </c>
      <c r="X19" s="30">
        <v>1</v>
      </c>
      <c r="Y19" s="30">
        <v>1</v>
      </c>
      <c r="Z19" s="30">
        <v>1</v>
      </c>
      <c r="AA19" s="30">
        <v>1</v>
      </c>
      <c r="AB19" s="30">
        <v>1</v>
      </c>
      <c r="AC19" s="30">
        <v>1</v>
      </c>
      <c r="AD19" s="30">
        <v>1</v>
      </c>
      <c r="AE19" s="30">
        <v>0</v>
      </c>
      <c r="AF19" s="30">
        <v>1</v>
      </c>
      <c r="AG19" s="30">
        <v>0</v>
      </c>
      <c r="AH19" s="30">
        <v>0</v>
      </c>
      <c r="AL19" s="1"/>
      <c r="AM19" s="1"/>
      <c r="AN19" s="1"/>
      <c r="AO19" s="1"/>
    </row>
    <row r="20" spans="2:46">
      <c r="B20" t="s">
        <v>206</v>
      </c>
      <c r="C20" s="81">
        <v>1</v>
      </c>
      <c r="D20" s="81">
        <v>1</v>
      </c>
      <c r="E20" s="81">
        <v>1</v>
      </c>
      <c r="F20" s="81">
        <v>1</v>
      </c>
      <c r="G20" s="81">
        <v>0</v>
      </c>
      <c r="H20" s="80">
        <v>1</v>
      </c>
      <c r="I20" s="83">
        <v>0</v>
      </c>
      <c r="J20" s="83">
        <v>0</v>
      </c>
      <c r="K20" s="83">
        <v>1</v>
      </c>
      <c r="L20" s="83">
        <v>0</v>
      </c>
      <c r="M20" s="30">
        <v>1</v>
      </c>
      <c r="N20" s="30">
        <v>1</v>
      </c>
      <c r="O20" s="30">
        <v>1</v>
      </c>
      <c r="P20" s="30">
        <v>1</v>
      </c>
      <c r="Q20" s="30">
        <v>1</v>
      </c>
      <c r="R20" s="30">
        <v>1</v>
      </c>
      <c r="S20" s="81">
        <v>1</v>
      </c>
      <c r="T20" s="80">
        <v>0</v>
      </c>
      <c r="U20" s="30">
        <v>1</v>
      </c>
      <c r="V20" s="80">
        <v>0</v>
      </c>
      <c r="W20" s="30">
        <v>1</v>
      </c>
      <c r="X20" s="30">
        <v>1</v>
      </c>
      <c r="Y20" s="30">
        <v>1</v>
      </c>
      <c r="Z20" s="30">
        <v>1</v>
      </c>
      <c r="AA20" s="30">
        <v>1</v>
      </c>
      <c r="AB20" s="30">
        <v>1</v>
      </c>
      <c r="AC20" s="30">
        <v>1</v>
      </c>
      <c r="AD20" s="30">
        <v>1</v>
      </c>
      <c r="AE20" s="30">
        <v>0</v>
      </c>
      <c r="AF20" s="30">
        <v>1</v>
      </c>
      <c r="AG20" s="30">
        <v>0</v>
      </c>
      <c r="AH20" s="30">
        <v>0</v>
      </c>
      <c r="AJ20" s="1"/>
      <c r="AL20" s="1"/>
      <c r="AM20" s="1"/>
      <c r="AN20" s="1"/>
      <c r="AO20" s="1"/>
      <c r="AQ20"/>
      <c r="AR20"/>
      <c r="AS20"/>
      <c r="AT20"/>
    </row>
    <row r="21" spans="2:46">
      <c r="AJ21" s="1"/>
      <c r="AL21" s="1"/>
      <c r="AM21" s="1"/>
      <c r="AN21" s="1"/>
      <c r="AO21" s="1"/>
      <c r="AQ21"/>
      <c r="AR21"/>
      <c r="AS21"/>
      <c r="AT21"/>
    </row>
    <row r="22" spans="2:46" ht="15.75" thickBot="1">
      <c r="AJ22" s="1"/>
      <c r="AL22" s="1"/>
      <c r="AM22" s="1"/>
      <c r="AN22" s="1"/>
      <c r="AO22" s="1"/>
      <c r="AQ22"/>
      <c r="AR22"/>
      <c r="AS22"/>
      <c r="AT22"/>
    </row>
    <row r="23" spans="2:46" ht="15.75" thickBot="1">
      <c r="AI23" s="84" t="s">
        <v>209</v>
      </c>
      <c r="AJ23" s="84" t="s">
        <v>210</v>
      </c>
      <c r="AK23" s="84" t="s">
        <v>211</v>
      </c>
      <c r="AL23" s="84" t="s">
        <v>212</v>
      </c>
      <c r="AM23" s="1"/>
      <c r="AN23" s="1"/>
      <c r="AO23" s="1"/>
      <c r="AQ23"/>
      <c r="AR23"/>
      <c r="AS23"/>
      <c r="AT23"/>
    </row>
    <row r="24" spans="2:46" ht="15.75" thickBot="1">
      <c r="AI24" s="86" t="s">
        <v>182</v>
      </c>
      <c r="AJ24" s="86" t="s">
        <v>213</v>
      </c>
      <c r="AK24" s="86" t="s">
        <v>214</v>
      </c>
      <c r="AL24" s="86" t="s">
        <v>215</v>
      </c>
      <c r="AM24" s="82" t="s">
        <v>258</v>
      </c>
      <c r="AN24" s="1"/>
      <c r="AO24" s="1"/>
      <c r="AQ24"/>
      <c r="AR24"/>
      <c r="AS24"/>
      <c r="AT24"/>
    </row>
    <row r="25" spans="2:46" ht="15.75" thickBot="1">
      <c r="AI25" s="87" t="s">
        <v>258</v>
      </c>
      <c r="AJ25" s="87" t="s">
        <v>216</v>
      </c>
      <c r="AK25" s="87" t="s">
        <v>217</v>
      </c>
      <c r="AL25" s="87" t="s">
        <v>218</v>
      </c>
      <c r="AM25" s="82"/>
      <c r="AN25" s="1"/>
      <c r="AO25" s="1"/>
      <c r="AQ25"/>
      <c r="AR25"/>
      <c r="AS25"/>
      <c r="AT25"/>
    </row>
    <row r="26" spans="2:46" ht="15.75" thickBot="1">
      <c r="AI26" s="87" t="s">
        <v>186</v>
      </c>
      <c r="AJ26" s="87" t="s">
        <v>219</v>
      </c>
      <c r="AK26" s="87" t="s">
        <v>220</v>
      </c>
      <c r="AL26" s="87" t="s">
        <v>221</v>
      </c>
      <c r="AM26" s="82"/>
      <c r="AN26" s="1"/>
      <c r="AO26" s="1"/>
      <c r="AQ26"/>
      <c r="AR26"/>
      <c r="AS26"/>
      <c r="AT26"/>
    </row>
    <row r="27" spans="2:46" ht="15.75" thickBot="1">
      <c r="P27" s="80"/>
      <c r="Q27" s="80"/>
      <c r="R27" s="80"/>
      <c r="S27" s="80"/>
      <c r="AI27" s="87" t="s">
        <v>259</v>
      </c>
      <c r="AJ27" s="87" t="s">
        <v>222</v>
      </c>
      <c r="AK27" s="87" t="s">
        <v>223</v>
      </c>
      <c r="AL27" s="87" t="s">
        <v>224</v>
      </c>
      <c r="AM27" s="82"/>
      <c r="AN27" s="1"/>
      <c r="AO27" s="1"/>
      <c r="AQ27"/>
      <c r="AR27"/>
      <c r="AS27"/>
      <c r="AT27"/>
    </row>
    <row r="28" spans="2:46" ht="15.75" thickBot="1">
      <c r="AI28" s="86" t="s">
        <v>185</v>
      </c>
      <c r="AJ28" s="86" t="s">
        <v>225</v>
      </c>
      <c r="AK28" s="86" t="s">
        <v>226</v>
      </c>
      <c r="AL28" s="86" t="s">
        <v>227</v>
      </c>
      <c r="AM28" s="82" t="s">
        <v>186</v>
      </c>
      <c r="AN28" s="1"/>
      <c r="AO28" s="1"/>
      <c r="AQ28"/>
      <c r="AR28"/>
      <c r="AS28"/>
      <c r="AT28"/>
    </row>
    <row r="29" spans="2:46" ht="15.75" thickBot="1">
      <c r="AI29" s="86" t="s">
        <v>260</v>
      </c>
      <c r="AJ29" s="86" t="s">
        <v>228</v>
      </c>
      <c r="AK29" s="86" t="s">
        <v>229</v>
      </c>
      <c r="AL29" s="86" t="s">
        <v>230</v>
      </c>
      <c r="AM29" s="82" t="s">
        <v>182</v>
      </c>
    </row>
    <row r="30" spans="2:46" ht="15.75" thickBot="1">
      <c r="AI30" s="87" t="s">
        <v>261</v>
      </c>
      <c r="AJ30" s="87" t="s">
        <v>231</v>
      </c>
      <c r="AK30" s="87" t="s">
        <v>232</v>
      </c>
      <c r="AL30" s="87" t="s">
        <v>233</v>
      </c>
      <c r="AM30" s="82"/>
    </row>
    <row r="31" spans="2:46" ht="15.75" thickBot="1">
      <c r="AI31" s="87" t="s">
        <v>262</v>
      </c>
      <c r="AJ31" s="87" t="s">
        <v>234</v>
      </c>
      <c r="AK31" s="87" t="s">
        <v>235</v>
      </c>
      <c r="AL31" s="87" t="s">
        <v>236</v>
      </c>
      <c r="AM31" s="82"/>
    </row>
    <row r="32" spans="2:46" ht="15.75" thickBot="1">
      <c r="AI32" s="87">
        <v>1000</v>
      </c>
      <c r="AJ32" s="87" t="s">
        <v>237</v>
      </c>
      <c r="AK32" s="87" t="s">
        <v>238</v>
      </c>
      <c r="AL32" s="87" t="s">
        <v>239</v>
      </c>
      <c r="AM32" s="82"/>
    </row>
    <row r="33" spans="35:39" ht="15.75" thickBot="1">
      <c r="AI33" s="87">
        <v>1001</v>
      </c>
      <c r="AJ33" s="87" t="s">
        <v>240</v>
      </c>
      <c r="AK33" s="87" t="s">
        <v>241</v>
      </c>
      <c r="AL33" s="87" t="s">
        <v>242</v>
      </c>
      <c r="AM33" s="82"/>
    </row>
    <row r="34" spans="35:39" ht="15.75" thickBot="1">
      <c r="AI34" s="87">
        <v>1010</v>
      </c>
      <c r="AJ34" s="87" t="s">
        <v>243</v>
      </c>
      <c r="AK34" s="87" t="s">
        <v>244</v>
      </c>
      <c r="AL34" s="87" t="s">
        <v>245</v>
      </c>
      <c r="AM34" s="82"/>
    </row>
    <row r="35" spans="35:39" ht="15.75" thickBot="1">
      <c r="AI35" s="87">
        <v>1011</v>
      </c>
      <c r="AJ35" s="87" t="s">
        <v>246</v>
      </c>
      <c r="AK35" s="87" t="s">
        <v>247</v>
      </c>
      <c r="AL35" s="87" t="s">
        <v>248</v>
      </c>
      <c r="AM35" s="82"/>
    </row>
    <row r="36" spans="35:39" ht="15.75" thickBot="1">
      <c r="AI36" s="87">
        <v>1100</v>
      </c>
      <c r="AJ36" s="87" t="s">
        <v>249</v>
      </c>
      <c r="AK36" s="87" t="s">
        <v>250</v>
      </c>
      <c r="AL36" s="87" t="s">
        <v>251</v>
      </c>
      <c r="AM36" s="82"/>
    </row>
    <row r="37" spans="35:39" ht="15.75" thickBot="1">
      <c r="AI37" s="87">
        <v>1101</v>
      </c>
      <c r="AJ37" s="87" t="s">
        <v>252</v>
      </c>
      <c r="AK37" s="87" t="s">
        <v>253</v>
      </c>
      <c r="AL37" s="87" t="s">
        <v>254</v>
      </c>
      <c r="AM37" s="82"/>
    </row>
    <row r="38" spans="35:39" ht="15.75" thickBot="1">
      <c r="AI38" s="87">
        <v>1110</v>
      </c>
      <c r="AJ38" s="87" t="s">
        <v>255</v>
      </c>
      <c r="AK38" s="87" t="s">
        <v>256</v>
      </c>
      <c r="AL38" s="87"/>
      <c r="AM38" s="82"/>
    </row>
    <row r="39" spans="35:39" ht="15.75" thickBot="1">
      <c r="AI39" s="87">
        <v>1111</v>
      </c>
      <c r="AJ39" s="87" t="s">
        <v>257</v>
      </c>
      <c r="AK39" s="87"/>
      <c r="AL39" s="87"/>
      <c r="AM39" s="82"/>
    </row>
    <row r="40" spans="35:39">
      <c r="AI40" s="85" t="s">
        <v>263</v>
      </c>
    </row>
    <row r="41" spans="35:39">
      <c r="AI41" s="82"/>
    </row>
    <row r="42" spans="35:39">
      <c r="AI42" s="82"/>
    </row>
    <row r="43" spans="35:39">
      <c r="AI43" s="82"/>
    </row>
    <row r="44" spans="35:39">
      <c r="AI44" s="82"/>
    </row>
  </sheetData>
  <mergeCells count="9">
    <mergeCell ref="C4:G5"/>
    <mergeCell ref="X5:AH5"/>
    <mergeCell ref="S4:S5"/>
    <mergeCell ref="H3:R3"/>
    <mergeCell ref="T3:AH3"/>
    <mergeCell ref="I4:R4"/>
    <mergeCell ref="X4:AH4"/>
    <mergeCell ref="I5:L5"/>
    <mergeCell ref="M5:R5"/>
  </mergeCells>
  <hyperlinks>
    <hyperlink ref="AI40" r:id="rId1"/>
  </hyperlinks>
  <pageMargins left="0.7" right="0.7" top="0.75" bottom="0.75" header="0.3" footer="0.3"/>
  <pageSetup paperSize="9" orientation="portrait" r:id="rId2"/>
  <ignoredErrors>
    <ignoredError sqref="AI24:AI25 AI26:AI31 AM24:AM39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3:BA39"/>
  <sheetViews>
    <sheetView tabSelected="1" topLeftCell="L17" workbookViewId="0">
      <selection activeCell="AJ18" sqref="AJ18:AJ28"/>
    </sheetView>
  </sheetViews>
  <sheetFormatPr baseColWidth="10" defaultRowHeight="15"/>
  <cols>
    <col min="2" max="2" width="15.140625" customWidth="1"/>
    <col min="3" max="34" width="2.85546875" customWidth="1"/>
    <col min="36" max="36" width="13.7109375" style="41" bestFit="1" customWidth="1"/>
    <col min="37" max="37" width="33.5703125" style="41" bestFit="1" customWidth="1"/>
    <col min="40" max="40" width="14.42578125" customWidth="1"/>
    <col min="41" max="41" width="13.7109375" bestFit="1" customWidth="1"/>
    <col min="45" max="45" width="20.85546875" customWidth="1"/>
    <col min="46" max="46" width="13.7109375" bestFit="1" customWidth="1"/>
    <col min="47" max="47" width="10" bestFit="1" customWidth="1"/>
    <col min="48" max="48" width="9.85546875" bestFit="1" customWidth="1"/>
    <col min="49" max="49" width="10.5703125" bestFit="1" customWidth="1"/>
    <col min="50" max="50" width="10.28515625" customWidth="1"/>
  </cols>
  <sheetData>
    <row r="3" spans="2:53">
      <c r="C3">
        <v>31</v>
      </c>
      <c r="D3">
        <v>30</v>
      </c>
      <c r="E3">
        <v>29</v>
      </c>
      <c r="F3">
        <v>28</v>
      </c>
      <c r="G3">
        <v>27</v>
      </c>
      <c r="H3">
        <v>26</v>
      </c>
      <c r="I3">
        <v>25</v>
      </c>
      <c r="J3">
        <v>24</v>
      </c>
      <c r="K3">
        <v>23</v>
      </c>
      <c r="L3">
        <v>22</v>
      </c>
      <c r="M3">
        <v>21</v>
      </c>
      <c r="N3">
        <v>20</v>
      </c>
      <c r="O3">
        <v>19</v>
      </c>
      <c r="P3">
        <v>18</v>
      </c>
      <c r="Q3">
        <v>17</v>
      </c>
      <c r="R3">
        <v>16</v>
      </c>
      <c r="S3">
        <v>15</v>
      </c>
      <c r="T3">
        <v>14</v>
      </c>
      <c r="U3">
        <v>13</v>
      </c>
      <c r="V3">
        <v>12</v>
      </c>
      <c r="W3">
        <v>11</v>
      </c>
      <c r="X3">
        <v>10</v>
      </c>
      <c r="Y3">
        <v>9</v>
      </c>
      <c r="Z3">
        <v>8</v>
      </c>
      <c r="AA3">
        <v>7</v>
      </c>
      <c r="AB3">
        <v>6</v>
      </c>
      <c r="AC3">
        <v>5</v>
      </c>
      <c r="AD3">
        <v>4</v>
      </c>
      <c r="AE3">
        <v>3</v>
      </c>
      <c r="AF3">
        <v>2</v>
      </c>
      <c r="AG3">
        <v>1</v>
      </c>
      <c r="AH3">
        <v>0</v>
      </c>
      <c r="AI3" s="41"/>
      <c r="AL3" s="41"/>
      <c r="AM3" s="41"/>
      <c r="AN3" s="41" t="s">
        <v>162</v>
      </c>
      <c r="AO3" s="41"/>
      <c r="AP3" s="41"/>
      <c r="AQ3" s="41"/>
      <c r="AR3" s="41"/>
      <c r="AY3" s="28"/>
      <c r="AZ3" s="28"/>
      <c r="BA3" s="28"/>
    </row>
    <row r="4" spans="2:53" ht="15.75" thickBot="1">
      <c r="B4" t="s">
        <v>264</v>
      </c>
      <c r="AJ4" t="s">
        <v>264</v>
      </c>
      <c r="AL4" s="41"/>
      <c r="AM4" s="41"/>
      <c r="AN4" s="41">
        <v>0</v>
      </c>
      <c r="AO4" s="41">
        <v>1</v>
      </c>
      <c r="AP4" s="41">
        <v>2</v>
      </c>
      <c r="AQ4" s="41">
        <v>3</v>
      </c>
      <c r="AR4" s="41"/>
      <c r="AY4" s="28"/>
      <c r="AZ4" s="28"/>
      <c r="BA4" s="28" t="s">
        <v>140</v>
      </c>
    </row>
    <row r="5" spans="2:53">
      <c r="B5" s="28" t="s">
        <v>150</v>
      </c>
      <c r="C5" s="42">
        <v>1</v>
      </c>
      <c r="D5" s="43">
        <v>1</v>
      </c>
      <c r="E5" s="43">
        <v>1</v>
      </c>
      <c r="F5" s="43">
        <v>1</v>
      </c>
      <c r="G5" s="43">
        <v>0</v>
      </c>
      <c r="H5" s="44">
        <v>0</v>
      </c>
      <c r="I5" s="45">
        <v>1</v>
      </c>
      <c r="J5" s="46">
        <v>0</v>
      </c>
      <c r="K5" s="52">
        <v>0</v>
      </c>
      <c r="L5" s="53">
        <v>1</v>
      </c>
      <c r="M5" s="53">
        <v>0</v>
      </c>
      <c r="N5" s="53">
        <v>0</v>
      </c>
      <c r="O5" s="44">
        <v>0</v>
      </c>
      <c r="P5" s="44">
        <v>0</v>
      </c>
      <c r="Q5" s="44">
        <v>0</v>
      </c>
      <c r="R5" s="54">
        <v>0</v>
      </c>
      <c r="S5" s="42">
        <v>0</v>
      </c>
      <c r="T5" s="44">
        <v>0</v>
      </c>
      <c r="U5" s="44">
        <v>0</v>
      </c>
      <c r="V5" s="44">
        <v>0</v>
      </c>
      <c r="W5" s="61">
        <v>0</v>
      </c>
      <c r="X5" s="61">
        <v>0</v>
      </c>
      <c r="Y5" s="61">
        <v>0</v>
      </c>
      <c r="Z5" s="62">
        <v>1</v>
      </c>
      <c r="AA5" s="65">
        <v>0</v>
      </c>
      <c r="AB5" s="44">
        <v>0</v>
      </c>
      <c r="AC5" s="44">
        <v>0</v>
      </c>
      <c r="AD5" s="44">
        <v>1</v>
      </c>
      <c r="AE5" s="44">
        <v>1</v>
      </c>
      <c r="AF5" s="44">
        <v>0</v>
      </c>
      <c r="AG5" s="44">
        <v>0</v>
      </c>
      <c r="AH5" s="54">
        <v>0</v>
      </c>
      <c r="AJ5" s="28" t="s">
        <v>150</v>
      </c>
      <c r="AK5" s="98" t="str">
        <f t="shared" ref="AK5" si="0">Concat1(C5:AH5, "")</f>
        <v>11110010010000000000000100011000</v>
      </c>
      <c r="AL5" s="41"/>
      <c r="AM5" s="41"/>
      <c r="AN5" s="69">
        <v>11110010</v>
      </c>
      <c r="AO5" s="69" t="s">
        <v>163</v>
      </c>
      <c r="AP5" s="69" t="s">
        <v>164</v>
      </c>
      <c r="AQ5" s="70" t="s">
        <v>165</v>
      </c>
      <c r="AR5" s="41"/>
      <c r="AY5" s="28"/>
      <c r="AZ5" s="28"/>
      <c r="BA5" s="28"/>
    </row>
    <row r="6" spans="2:53">
      <c r="B6" s="28" t="s">
        <v>154</v>
      </c>
      <c r="C6" s="47">
        <v>1</v>
      </c>
      <c r="D6" s="48">
        <v>1</v>
      </c>
      <c r="E6" s="48">
        <v>1</v>
      </c>
      <c r="F6" s="48">
        <v>1</v>
      </c>
      <c r="G6" s="48">
        <v>0</v>
      </c>
      <c r="H6" s="49">
        <v>0</v>
      </c>
      <c r="I6" s="50">
        <v>1</v>
      </c>
      <c r="J6" s="15">
        <v>0</v>
      </c>
      <c r="K6" s="55">
        <v>0</v>
      </c>
      <c r="L6" s="9">
        <v>1</v>
      </c>
      <c r="M6" s="9">
        <v>0</v>
      </c>
      <c r="N6" s="9">
        <v>0</v>
      </c>
      <c r="O6" s="49">
        <v>0</v>
      </c>
      <c r="P6" s="49">
        <v>0</v>
      </c>
      <c r="Q6" s="49">
        <v>0</v>
      </c>
      <c r="R6" s="56">
        <v>0</v>
      </c>
      <c r="S6" s="47">
        <v>0</v>
      </c>
      <c r="T6" s="49">
        <v>0</v>
      </c>
      <c r="U6" s="49">
        <v>0</v>
      </c>
      <c r="V6" s="49">
        <v>0</v>
      </c>
      <c r="W6" s="63">
        <v>0</v>
      </c>
      <c r="X6" s="63">
        <v>0</v>
      </c>
      <c r="Y6" s="63">
        <v>1</v>
      </c>
      <c r="Z6" s="64">
        <v>0</v>
      </c>
      <c r="AA6" s="66">
        <v>0</v>
      </c>
      <c r="AB6" s="49">
        <v>0</v>
      </c>
      <c r="AC6" s="49">
        <v>0</v>
      </c>
      <c r="AD6" s="49">
        <v>1</v>
      </c>
      <c r="AE6" s="49">
        <v>1</v>
      </c>
      <c r="AF6" s="49">
        <v>1</v>
      </c>
      <c r="AG6" s="49">
        <v>1</v>
      </c>
      <c r="AH6" s="56">
        <v>1</v>
      </c>
      <c r="AJ6" s="28" t="s">
        <v>154</v>
      </c>
      <c r="AK6" s="98" t="str">
        <f>Concat1(C6:AH6, "")</f>
        <v>11110010010000000000001000011111</v>
      </c>
      <c r="AL6" s="41"/>
      <c r="AM6" s="41"/>
      <c r="AN6" s="70" t="s">
        <v>166</v>
      </c>
      <c r="AO6" s="70" t="s">
        <v>167</v>
      </c>
      <c r="AP6" s="70" t="s">
        <v>164</v>
      </c>
      <c r="AQ6" s="70" t="s">
        <v>168</v>
      </c>
      <c r="AR6" s="41"/>
      <c r="AY6" s="28"/>
      <c r="AZ6" s="28"/>
      <c r="BA6" s="28"/>
    </row>
    <row r="7" spans="2:53">
      <c r="B7" s="28" t="s">
        <v>156</v>
      </c>
      <c r="C7" s="47">
        <v>1</v>
      </c>
      <c r="D7" s="48">
        <v>1</v>
      </c>
      <c r="E7" s="48">
        <v>1</v>
      </c>
      <c r="F7" s="9">
        <v>0</v>
      </c>
      <c r="G7" s="48">
        <v>1</v>
      </c>
      <c r="H7" s="48">
        <v>0</v>
      </c>
      <c r="I7" s="48">
        <v>1</v>
      </c>
      <c r="J7" s="51">
        <v>1</v>
      </c>
      <c r="K7" s="57">
        <v>0</v>
      </c>
      <c r="L7" s="58">
        <v>0</v>
      </c>
      <c r="M7" s="58">
        <v>0</v>
      </c>
      <c r="N7" s="9">
        <v>0</v>
      </c>
      <c r="O7" s="59">
        <v>0</v>
      </c>
      <c r="P7" s="59">
        <v>0</v>
      </c>
      <c r="Q7" s="59">
        <v>0</v>
      </c>
      <c r="R7" s="60">
        <v>1</v>
      </c>
      <c r="S7" s="55">
        <v>0</v>
      </c>
      <c r="T7" s="9">
        <v>0</v>
      </c>
      <c r="U7" s="9">
        <v>0</v>
      </c>
      <c r="V7" s="9">
        <v>0</v>
      </c>
      <c r="W7" s="63">
        <v>0</v>
      </c>
      <c r="X7" s="63">
        <v>0</v>
      </c>
      <c r="Y7" s="63">
        <v>1</v>
      </c>
      <c r="Z7" s="64">
        <v>1</v>
      </c>
      <c r="AA7" s="55">
        <v>0</v>
      </c>
      <c r="AB7" s="9">
        <v>0</v>
      </c>
      <c r="AC7" s="9">
        <v>0</v>
      </c>
      <c r="AD7" s="9">
        <v>0</v>
      </c>
      <c r="AE7" s="67">
        <v>0</v>
      </c>
      <c r="AF7" s="67">
        <v>0</v>
      </c>
      <c r="AG7" s="67">
        <v>1</v>
      </c>
      <c r="AH7" s="68">
        <v>0</v>
      </c>
      <c r="AJ7" s="28" t="s">
        <v>156</v>
      </c>
      <c r="AK7" s="98" t="str">
        <f>Concat1(C7:AH7, "")</f>
        <v>11101011000000010000001100000010</v>
      </c>
      <c r="AL7" s="41"/>
      <c r="AM7" s="41"/>
      <c r="AN7" s="70" t="s">
        <v>166</v>
      </c>
      <c r="AO7" s="70" t="s">
        <v>163</v>
      </c>
      <c r="AP7" s="70" t="s">
        <v>169</v>
      </c>
      <c r="AQ7" s="70" t="s">
        <v>170</v>
      </c>
      <c r="AR7" s="41"/>
      <c r="AY7" s="28"/>
      <c r="AZ7" s="28"/>
      <c r="BA7" s="28"/>
    </row>
    <row r="8" spans="2:53">
      <c r="B8" s="28" t="s">
        <v>157</v>
      </c>
      <c r="C8" s="47">
        <v>1</v>
      </c>
      <c r="D8" s="48">
        <v>1</v>
      </c>
      <c r="E8" s="48">
        <v>1</v>
      </c>
      <c r="F8" s="9">
        <v>0</v>
      </c>
      <c r="G8" s="48">
        <v>1</v>
      </c>
      <c r="H8" s="48">
        <v>0</v>
      </c>
      <c r="I8" s="48">
        <v>1</v>
      </c>
      <c r="J8" s="51">
        <v>1</v>
      </c>
      <c r="K8" s="57">
        <v>1</v>
      </c>
      <c r="L8" s="58">
        <v>0</v>
      </c>
      <c r="M8" s="58">
        <v>1</v>
      </c>
      <c r="N8" s="9">
        <v>0</v>
      </c>
      <c r="O8" s="59">
        <v>0</v>
      </c>
      <c r="P8" s="59">
        <v>0</v>
      </c>
      <c r="Q8" s="59">
        <v>1</v>
      </c>
      <c r="R8" s="60">
        <v>0</v>
      </c>
      <c r="S8" s="55">
        <v>0</v>
      </c>
      <c r="T8" s="9">
        <v>0</v>
      </c>
      <c r="U8" s="9">
        <v>0</v>
      </c>
      <c r="V8" s="9">
        <v>0</v>
      </c>
      <c r="W8" s="63">
        <v>0</v>
      </c>
      <c r="X8" s="63">
        <v>1</v>
      </c>
      <c r="Y8" s="63">
        <v>0</v>
      </c>
      <c r="Z8" s="64">
        <v>0</v>
      </c>
      <c r="AA8" s="55">
        <v>0</v>
      </c>
      <c r="AB8" s="9">
        <v>0</v>
      </c>
      <c r="AC8" s="9">
        <v>0</v>
      </c>
      <c r="AD8" s="9">
        <v>0</v>
      </c>
      <c r="AE8" s="67">
        <v>0</v>
      </c>
      <c r="AF8" s="67">
        <v>0</v>
      </c>
      <c r="AG8" s="67">
        <v>0</v>
      </c>
      <c r="AH8" s="68">
        <v>1</v>
      </c>
      <c r="AJ8" s="28" t="s">
        <v>157</v>
      </c>
      <c r="AK8" s="98" t="str">
        <f>Concat1(C8:AH8, "")</f>
        <v>11101011101000100000010000000001</v>
      </c>
      <c r="AL8" s="41"/>
      <c r="AM8" s="41"/>
      <c r="AN8" s="70" t="s">
        <v>166</v>
      </c>
      <c r="AO8" s="70" t="s">
        <v>167</v>
      </c>
      <c r="AP8" s="70" t="s">
        <v>169</v>
      </c>
      <c r="AQ8" s="70" t="s">
        <v>168</v>
      </c>
      <c r="AR8" s="41"/>
      <c r="AY8" s="28"/>
      <c r="AZ8" s="28"/>
      <c r="BA8" s="28"/>
    </row>
    <row r="9" spans="2:53">
      <c r="B9" t="s">
        <v>272</v>
      </c>
      <c r="C9" s="47">
        <v>1</v>
      </c>
      <c r="D9" s="48">
        <v>1</v>
      </c>
      <c r="E9" s="48">
        <v>1</v>
      </c>
      <c r="F9" s="48">
        <v>1</v>
      </c>
      <c r="G9" s="48">
        <v>0</v>
      </c>
      <c r="H9" s="9">
        <v>1</v>
      </c>
      <c r="I9" s="49">
        <v>1</v>
      </c>
      <c r="J9" s="56">
        <v>1</v>
      </c>
      <c r="K9" s="66">
        <v>1</v>
      </c>
      <c r="L9" s="49">
        <v>1</v>
      </c>
      <c r="M9" s="49">
        <v>1</v>
      </c>
      <c r="N9" s="49">
        <v>1</v>
      </c>
      <c r="O9" s="49">
        <v>1</v>
      </c>
      <c r="P9" s="49">
        <v>1</v>
      </c>
      <c r="Q9" s="49">
        <v>1</v>
      </c>
      <c r="R9" s="56">
        <v>1</v>
      </c>
      <c r="S9" s="47">
        <v>1</v>
      </c>
      <c r="T9" s="9">
        <v>0</v>
      </c>
      <c r="U9" s="49">
        <v>1</v>
      </c>
      <c r="V9" s="9">
        <v>1</v>
      </c>
      <c r="W9" s="49">
        <v>1</v>
      </c>
      <c r="X9" s="49">
        <v>1</v>
      </c>
      <c r="Y9" s="49">
        <v>1</v>
      </c>
      <c r="Z9" s="56">
        <v>1</v>
      </c>
      <c r="AA9" s="66">
        <v>1</v>
      </c>
      <c r="AB9" s="49">
        <v>1</v>
      </c>
      <c r="AC9" s="49">
        <v>1</v>
      </c>
      <c r="AD9" s="49">
        <v>1</v>
      </c>
      <c r="AE9" s="49">
        <v>1</v>
      </c>
      <c r="AF9" s="49">
        <v>0</v>
      </c>
      <c r="AG9" s="49">
        <v>0</v>
      </c>
      <c r="AH9" s="56">
        <v>0</v>
      </c>
      <c r="AJ9" t="s">
        <v>132</v>
      </c>
      <c r="AK9" s="98" t="str">
        <f>Concat1(C9:AH9, "")</f>
        <v>11110111111111111011111111111000</v>
      </c>
      <c r="AL9" s="41"/>
      <c r="AM9" s="41"/>
      <c r="AN9" s="70" t="s">
        <v>171</v>
      </c>
      <c r="AO9" s="70" t="s">
        <v>164</v>
      </c>
      <c r="AP9" s="70" t="s">
        <v>172</v>
      </c>
      <c r="AQ9" s="70" t="s">
        <v>169</v>
      </c>
      <c r="AR9" s="41"/>
      <c r="AY9" s="28"/>
      <c r="AZ9" s="28"/>
      <c r="BA9" s="28"/>
    </row>
    <row r="10" spans="2:53">
      <c r="B10" s="28" t="s">
        <v>179</v>
      </c>
      <c r="C10" s="55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15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15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15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15">
        <v>0</v>
      </c>
      <c r="AJ10" s="28" t="s">
        <v>179</v>
      </c>
      <c r="AK10" s="98" t="str">
        <f>Concat1(C10:AH10, "")</f>
        <v>00000000000000000000000000000000</v>
      </c>
      <c r="AL10" s="41"/>
      <c r="AM10" s="41"/>
      <c r="AN10" s="70" t="s">
        <v>171</v>
      </c>
      <c r="AO10" s="70" t="s">
        <v>173</v>
      </c>
      <c r="AP10" s="70" t="s">
        <v>174</v>
      </c>
      <c r="AQ10" s="70" t="s">
        <v>164</v>
      </c>
      <c r="AR10" s="41"/>
      <c r="AY10" s="28"/>
      <c r="AZ10" s="28"/>
      <c r="BA10" s="28"/>
    </row>
    <row r="11" spans="2:53">
      <c r="B11" s="28" t="s">
        <v>179</v>
      </c>
      <c r="C11" s="55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15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15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15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15">
        <v>0</v>
      </c>
      <c r="AJ11" s="28" t="s">
        <v>179</v>
      </c>
      <c r="AK11" s="98" t="str">
        <f>Concat1(C11:AH11, "")</f>
        <v>00000000000000000000000000000000</v>
      </c>
      <c r="AL11" s="41"/>
      <c r="AM11" s="41"/>
      <c r="AN11" s="70" t="s">
        <v>175</v>
      </c>
      <c r="AO11" s="70" t="s">
        <v>176</v>
      </c>
      <c r="AP11" s="70" t="s">
        <v>177</v>
      </c>
      <c r="AQ11" s="70" t="s">
        <v>178</v>
      </c>
      <c r="AR11" s="41"/>
      <c r="AY11" s="28"/>
      <c r="AZ11" s="28"/>
      <c r="BA11" s="28"/>
    </row>
    <row r="12" spans="2:53">
      <c r="B12" s="28" t="s">
        <v>179</v>
      </c>
      <c r="C12" s="55">
        <v>0</v>
      </c>
      <c r="D12" s="9">
        <v>0</v>
      </c>
      <c r="E12" s="9">
        <v>0</v>
      </c>
      <c r="F12" s="9">
        <v>0</v>
      </c>
      <c r="G12" s="9">
        <v>0</v>
      </c>
      <c r="H12" s="9">
        <v>0</v>
      </c>
      <c r="I12" s="9">
        <v>0</v>
      </c>
      <c r="J12" s="15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  <c r="P12" s="9">
        <v>0</v>
      </c>
      <c r="Q12" s="9">
        <v>0</v>
      </c>
      <c r="R12" s="15">
        <v>0</v>
      </c>
      <c r="S12" s="9">
        <v>0</v>
      </c>
      <c r="T12" s="9">
        <v>0</v>
      </c>
      <c r="U12" s="9">
        <v>0</v>
      </c>
      <c r="V12" s="9">
        <v>0</v>
      </c>
      <c r="W12" s="9">
        <v>0</v>
      </c>
      <c r="X12" s="9">
        <v>0</v>
      </c>
      <c r="Y12" s="9">
        <v>0</v>
      </c>
      <c r="Z12" s="15">
        <v>0</v>
      </c>
      <c r="AA12" s="9">
        <v>0</v>
      </c>
      <c r="AB12" s="9">
        <v>0</v>
      </c>
      <c r="AC12" s="9">
        <v>0</v>
      </c>
      <c r="AD12" s="9">
        <v>0</v>
      </c>
      <c r="AE12" s="9">
        <v>0</v>
      </c>
      <c r="AF12" s="9">
        <v>0</v>
      </c>
      <c r="AG12" s="9">
        <v>0</v>
      </c>
      <c r="AH12" s="15">
        <v>0</v>
      </c>
      <c r="AJ12" s="28" t="s">
        <v>179</v>
      </c>
      <c r="AK12" s="98" t="str">
        <f>Concat1(C12:AH12, "")</f>
        <v>00000000000000000000000000000000</v>
      </c>
      <c r="AL12" s="41"/>
      <c r="AM12" s="41"/>
      <c r="AN12" s="70" t="s">
        <v>168</v>
      </c>
      <c r="AO12" s="70" t="s">
        <v>168</v>
      </c>
      <c r="AP12" s="70" t="s">
        <v>168</v>
      </c>
      <c r="AQ12" s="70" t="s">
        <v>168</v>
      </c>
      <c r="AR12" s="41"/>
      <c r="AY12" s="28"/>
      <c r="AZ12" s="28"/>
      <c r="BA12" s="28"/>
    </row>
    <row r="13" spans="2:53">
      <c r="B13" s="28" t="s">
        <v>179</v>
      </c>
      <c r="C13" s="55">
        <v>0</v>
      </c>
      <c r="D13" s="9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15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15">
        <v>0</v>
      </c>
      <c r="S13" s="9">
        <v>0</v>
      </c>
      <c r="T13" s="9">
        <v>0</v>
      </c>
      <c r="U13" s="9">
        <v>0</v>
      </c>
      <c r="V13" s="9">
        <v>0</v>
      </c>
      <c r="W13" s="9">
        <v>0</v>
      </c>
      <c r="X13" s="9">
        <v>0</v>
      </c>
      <c r="Y13" s="9">
        <v>0</v>
      </c>
      <c r="Z13" s="15">
        <v>0</v>
      </c>
      <c r="AA13" s="9">
        <v>0</v>
      </c>
      <c r="AB13" s="9">
        <v>0</v>
      </c>
      <c r="AC13" s="9">
        <v>0</v>
      </c>
      <c r="AD13" s="9">
        <v>0</v>
      </c>
      <c r="AE13" s="9">
        <v>0</v>
      </c>
      <c r="AF13" s="9">
        <v>0</v>
      </c>
      <c r="AG13" s="9">
        <v>0</v>
      </c>
      <c r="AH13" s="15">
        <v>0</v>
      </c>
      <c r="AJ13" s="28" t="s">
        <v>179</v>
      </c>
      <c r="AK13" s="98" t="str">
        <f>Concat1(C13:AH13, "")</f>
        <v>00000000000000000000000000000000</v>
      </c>
    </row>
    <row r="14" spans="2:53">
      <c r="B14" s="28" t="s">
        <v>179</v>
      </c>
      <c r="C14" s="55">
        <v>0</v>
      </c>
      <c r="D14" s="9">
        <v>0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15">
        <v>0</v>
      </c>
      <c r="K14" s="9">
        <v>0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15">
        <v>0</v>
      </c>
      <c r="S14" s="9">
        <v>0</v>
      </c>
      <c r="T14" s="9">
        <v>0</v>
      </c>
      <c r="U14" s="9">
        <v>0</v>
      </c>
      <c r="V14" s="9">
        <v>0</v>
      </c>
      <c r="W14" s="9">
        <v>0</v>
      </c>
      <c r="X14" s="9">
        <v>0</v>
      </c>
      <c r="Y14" s="9">
        <v>0</v>
      </c>
      <c r="Z14" s="15">
        <v>0</v>
      </c>
      <c r="AA14" s="9">
        <v>0</v>
      </c>
      <c r="AB14" s="9">
        <v>0</v>
      </c>
      <c r="AC14" s="9">
        <v>0</v>
      </c>
      <c r="AD14" s="9">
        <v>0</v>
      </c>
      <c r="AE14" s="9">
        <v>0</v>
      </c>
      <c r="AF14" s="9">
        <v>0</v>
      </c>
      <c r="AG14" s="9">
        <v>0</v>
      </c>
      <c r="AH14" s="15">
        <v>0</v>
      </c>
      <c r="AJ14" s="28" t="s">
        <v>179</v>
      </c>
      <c r="AK14" s="98" t="str">
        <f>Concat1(C14:AH14, "")</f>
        <v>00000000000000000000000000000000</v>
      </c>
    </row>
    <row r="15" spans="2:53" ht="15.75" thickBot="1">
      <c r="B15" s="28" t="s">
        <v>179</v>
      </c>
      <c r="C15" s="97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6">
        <v>0</v>
      </c>
      <c r="K15" s="97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6">
        <v>0</v>
      </c>
      <c r="S15" s="97">
        <v>0</v>
      </c>
      <c r="T15" s="13">
        <v>0</v>
      </c>
      <c r="U15" s="13">
        <v>0</v>
      </c>
      <c r="V15" s="13">
        <v>0</v>
      </c>
      <c r="W15" s="13">
        <v>0</v>
      </c>
      <c r="X15" s="13">
        <v>0</v>
      </c>
      <c r="Y15" s="13">
        <v>0</v>
      </c>
      <c r="Z15" s="16">
        <v>0</v>
      </c>
      <c r="AA15" s="97">
        <v>0</v>
      </c>
      <c r="AB15" s="13">
        <v>0</v>
      </c>
      <c r="AC15" s="13">
        <v>0</v>
      </c>
      <c r="AD15" s="13">
        <v>0</v>
      </c>
      <c r="AE15" s="13">
        <v>0</v>
      </c>
      <c r="AF15" s="13">
        <v>0</v>
      </c>
      <c r="AG15" s="13">
        <v>0</v>
      </c>
      <c r="AH15" s="16">
        <v>0</v>
      </c>
      <c r="AJ15" s="28" t="s">
        <v>179</v>
      </c>
      <c r="AK15" s="98" t="str">
        <f>Concat1(C15:AH15, "")</f>
        <v>00000000000000000000000000000000</v>
      </c>
      <c r="AN15" s="28"/>
      <c r="AO15" s="28"/>
      <c r="AP15" s="96" t="s">
        <v>141</v>
      </c>
      <c r="AQ15" s="96"/>
      <c r="AR15" s="96"/>
      <c r="AS15" s="96"/>
    </row>
    <row r="16" spans="2:53">
      <c r="AK16" s="98"/>
      <c r="AN16" s="28"/>
      <c r="AO16" s="28" t="s">
        <v>134</v>
      </c>
      <c r="AP16" s="28" t="s">
        <v>136</v>
      </c>
      <c r="AQ16" s="28" t="s">
        <v>137</v>
      </c>
      <c r="AR16" s="28" t="s">
        <v>138</v>
      </c>
      <c r="AS16" s="28" t="s">
        <v>139</v>
      </c>
    </row>
    <row r="17" spans="2:45" ht="15.75" thickBot="1">
      <c r="B17" t="s">
        <v>265</v>
      </c>
      <c r="AJ17" t="s">
        <v>265</v>
      </c>
      <c r="AK17" s="98"/>
      <c r="AN17" s="95" t="s">
        <v>152</v>
      </c>
      <c r="AO17" s="28" t="s">
        <v>150</v>
      </c>
      <c r="AP17" s="28" t="s">
        <v>144</v>
      </c>
      <c r="AQ17" s="28" t="s">
        <v>144</v>
      </c>
      <c r="AR17" s="28" t="s">
        <v>143</v>
      </c>
      <c r="AS17" s="28" t="s">
        <v>161</v>
      </c>
    </row>
    <row r="18" spans="2:45">
      <c r="B18" s="28" t="s">
        <v>266</v>
      </c>
      <c r="C18" s="42">
        <v>1</v>
      </c>
      <c r="D18" s="43">
        <v>1</v>
      </c>
      <c r="E18" s="43">
        <v>1</v>
      </c>
      <c r="F18" s="43">
        <v>1</v>
      </c>
      <c r="G18" s="43">
        <v>0</v>
      </c>
      <c r="H18" s="44">
        <v>0</v>
      </c>
      <c r="I18" s="45">
        <v>1</v>
      </c>
      <c r="J18" s="46">
        <v>0</v>
      </c>
      <c r="K18" s="52">
        <v>0</v>
      </c>
      <c r="L18" s="53">
        <v>1</v>
      </c>
      <c r="M18" s="53">
        <v>0</v>
      </c>
      <c r="N18" s="53">
        <v>0</v>
      </c>
      <c r="O18" s="44">
        <v>0</v>
      </c>
      <c r="P18" s="44">
        <v>0</v>
      </c>
      <c r="Q18" s="44">
        <v>0</v>
      </c>
      <c r="R18" s="54">
        <v>0</v>
      </c>
      <c r="S18" s="42">
        <v>0</v>
      </c>
      <c r="T18" s="44">
        <v>0</v>
      </c>
      <c r="U18" s="44">
        <v>0</v>
      </c>
      <c r="V18" s="44">
        <v>0</v>
      </c>
      <c r="W18" s="61">
        <v>0</v>
      </c>
      <c r="X18" s="61">
        <v>0</v>
      </c>
      <c r="Y18" s="61">
        <v>0</v>
      </c>
      <c r="Z18" s="62">
        <v>1</v>
      </c>
      <c r="AA18" s="65">
        <v>0</v>
      </c>
      <c r="AB18" s="44">
        <v>0</v>
      </c>
      <c r="AC18" s="44">
        <v>0</v>
      </c>
      <c r="AD18" s="44">
        <v>1</v>
      </c>
      <c r="AE18" s="44">
        <v>0</v>
      </c>
      <c r="AF18" s="44">
        <v>0</v>
      </c>
      <c r="AG18" s="44">
        <v>0</v>
      </c>
      <c r="AH18" s="54">
        <v>0</v>
      </c>
      <c r="AJ18" s="28" t="s">
        <v>266</v>
      </c>
      <c r="AK18" s="98" t="str">
        <f>Concat1(C18:AH18, "")</f>
        <v>11110010010000000000000100010000</v>
      </c>
      <c r="AN18" s="95"/>
      <c r="AO18" s="28" t="s">
        <v>151</v>
      </c>
      <c r="AP18" s="28" t="s">
        <v>144</v>
      </c>
      <c r="AQ18" s="28" t="s">
        <v>144</v>
      </c>
      <c r="AR18" s="28" t="s">
        <v>143</v>
      </c>
      <c r="AS18" s="28" t="s">
        <v>145</v>
      </c>
    </row>
    <row r="19" spans="2:45">
      <c r="B19" s="28" t="s">
        <v>267</v>
      </c>
      <c r="C19" s="47">
        <v>1</v>
      </c>
      <c r="D19" s="48">
        <v>1</v>
      </c>
      <c r="E19" s="48">
        <v>1</v>
      </c>
      <c r="F19" s="48">
        <v>1</v>
      </c>
      <c r="G19" s="48">
        <v>0</v>
      </c>
      <c r="H19" s="49">
        <v>0</v>
      </c>
      <c r="I19" s="50">
        <v>1</v>
      </c>
      <c r="J19" s="15">
        <v>0</v>
      </c>
      <c r="K19" s="55">
        <v>0</v>
      </c>
      <c r="L19" s="9">
        <v>1</v>
      </c>
      <c r="M19" s="9">
        <v>0</v>
      </c>
      <c r="N19" s="9">
        <v>0</v>
      </c>
      <c r="O19" s="49">
        <v>0</v>
      </c>
      <c r="P19" s="49">
        <v>0</v>
      </c>
      <c r="Q19" s="49">
        <v>0</v>
      </c>
      <c r="R19" s="56">
        <v>0</v>
      </c>
      <c r="S19" s="47">
        <v>0</v>
      </c>
      <c r="T19" s="49">
        <v>0</v>
      </c>
      <c r="U19" s="49">
        <v>0</v>
      </c>
      <c r="V19" s="49">
        <v>0</v>
      </c>
      <c r="W19" s="63">
        <v>0</v>
      </c>
      <c r="X19" s="63">
        <v>0</v>
      </c>
      <c r="Y19" s="63">
        <v>0</v>
      </c>
      <c r="Z19" s="64">
        <v>1</v>
      </c>
      <c r="AA19" s="66">
        <v>0</v>
      </c>
      <c r="AB19" s="49">
        <v>0</v>
      </c>
      <c r="AC19" s="49">
        <v>1</v>
      </c>
      <c r="AD19" s="49">
        <v>0</v>
      </c>
      <c r="AE19" s="49">
        <v>0</v>
      </c>
      <c r="AF19" s="49">
        <v>0</v>
      </c>
      <c r="AG19" s="49">
        <v>0</v>
      </c>
      <c r="AH19" s="56">
        <v>0</v>
      </c>
      <c r="AJ19" s="28" t="s">
        <v>267</v>
      </c>
      <c r="AK19" s="98" t="str">
        <f t="shared" ref="AK19:AK28" si="1">Concat1(C19:AH19, "")</f>
        <v>11110010010000000000000100100000</v>
      </c>
      <c r="AN19" s="95" t="s">
        <v>153</v>
      </c>
      <c r="AO19" s="28" t="s">
        <v>154</v>
      </c>
      <c r="AP19" s="28" t="s">
        <v>144</v>
      </c>
      <c r="AQ19" s="28" t="s">
        <v>144</v>
      </c>
      <c r="AR19" s="28" t="s">
        <v>146</v>
      </c>
      <c r="AS19" s="28" t="s">
        <v>160</v>
      </c>
    </row>
    <row r="20" spans="2:45">
      <c r="B20" s="28" t="s">
        <v>156</v>
      </c>
      <c r="C20" s="47">
        <v>1</v>
      </c>
      <c r="D20" s="48">
        <v>1</v>
      </c>
      <c r="E20" s="48">
        <v>1</v>
      </c>
      <c r="F20" s="9">
        <v>0</v>
      </c>
      <c r="G20" s="48">
        <v>1</v>
      </c>
      <c r="H20" s="48">
        <v>0</v>
      </c>
      <c r="I20" s="48">
        <v>1</v>
      </c>
      <c r="J20" s="51">
        <v>1</v>
      </c>
      <c r="K20" s="57">
        <v>0</v>
      </c>
      <c r="L20" s="58">
        <v>0</v>
      </c>
      <c r="M20" s="58">
        <v>0</v>
      </c>
      <c r="N20" s="9">
        <v>0</v>
      </c>
      <c r="O20" s="59">
        <v>0</v>
      </c>
      <c r="P20" s="59">
        <v>0</v>
      </c>
      <c r="Q20" s="59">
        <v>0</v>
      </c>
      <c r="R20" s="60">
        <v>1</v>
      </c>
      <c r="S20" s="55">
        <v>0</v>
      </c>
      <c r="T20" s="9">
        <v>0</v>
      </c>
      <c r="U20" s="9">
        <v>0</v>
      </c>
      <c r="V20" s="9">
        <v>0</v>
      </c>
      <c r="W20" s="63">
        <v>0</v>
      </c>
      <c r="X20" s="63">
        <v>0</v>
      </c>
      <c r="Y20" s="63">
        <v>1</v>
      </c>
      <c r="Z20" s="64">
        <v>1</v>
      </c>
      <c r="AA20" s="55">
        <v>0</v>
      </c>
      <c r="AB20" s="9">
        <v>0</v>
      </c>
      <c r="AC20" s="9">
        <v>0</v>
      </c>
      <c r="AD20" s="9">
        <v>0</v>
      </c>
      <c r="AE20" s="67">
        <v>0</v>
      </c>
      <c r="AF20" s="67">
        <v>0</v>
      </c>
      <c r="AG20" s="67">
        <v>1</v>
      </c>
      <c r="AH20" s="68">
        <v>0</v>
      </c>
      <c r="AJ20" s="28" t="s">
        <v>156</v>
      </c>
      <c r="AK20" s="98" t="str">
        <f t="shared" si="1"/>
        <v>11101011000000010000001100000010</v>
      </c>
      <c r="AN20" s="95"/>
      <c r="AO20" s="28" t="s">
        <v>155</v>
      </c>
      <c r="AP20" s="28" t="s">
        <v>144</v>
      </c>
      <c r="AQ20" s="28" t="s">
        <v>144</v>
      </c>
      <c r="AR20" s="28" t="s">
        <v>146</v>
      </c>
      <c r="AS20" s="28" t="s">
        <v>145</v>
      </c>
    </row>
    <row r="21" spans="2:45">
      <c r="B21" s="28" t="s">
        <v>268</v>
      </c>
      <c r="C21" s="47">
        <v>1</v>
      </c>
      <c r="D21" s="48">
        <v>1</v>
      </c>
      <c r="E21" s="48">
        <v>1</v>
      </c>
      <c r="F21" s="9">
        <v>0</v>
      </c>
      <c r="G21" s="48">
        <v>1</v>
      </c>
      <c r="H21" s="48">
        <v>0</v>
      </c>
      <c r="I21" s="48">
        <v>1</v>
      </c>
      <c r="J21" s="51">
        <v>1</v>
      </c>
      <c r="K21" s="57">
        <v>1</v>
      </c>
      <c r="L21" s="58">
        <v>0</v>
      </c>
      <c r="M21" s="58">
        <v>1</v>
      </c>
      <c r="N21" s="9">
        <v>0</v>
      </c>
      <c r="O21" s="59">
        <v>0</v>
      </c>
      <c r="P21" s="59">
        <v>0</v>
      </c>
      <c r="Q21" s="59">
        <v>0</v>
      </c>
      <c r="R21" s="60">
        <v>1</v>
      </c>
      <c r="S21" s="55">
        <v>0</v>
      </c>
      <c r="T21" s="9">
        <v>0</v>
      </c>
      <c r="U21" s="9">
        <v>0</v>
      </c>
      <c r="V21" s="9">
        <v>0</v>
      </c>
      <c r="W21" s="63">
        <v>0</v>
      </c>
      <c r="X21" s="63">
        <v>1</v>
      </c>
      <c r="Y21" s="63">
        <v>0</v>
      </c>
      <c r="Z21" s="64">
        <v>0</v>
      </c>
      <c r="AA21" s="55">
        <v>0</v>
      </c>
      <c r="AB21" s="9">
        <v>0</v>
      </c>
      <c r="AC21" s="9">
        <v>0</v>
      </c>
      <c r="AD21" s="9">
        <v>0</v>
      </c>
      <c r="AE21" s="67">
        <v>0</v>
      </c>
      <c r="AF21" s="67">
        <v>0</v>
      </c>
      <c r="AG21" s="67">
        <v>1</v>
      </c>
      <c r="AH21" s="68">
        <v>0</v>
      </c>
      <c r="AJ21" s="28" t="s">
        <v>268</v>
      </c>
      <c r="AK21" s="98" t="str">
        <f t="shared" si="1"/>
        <v>11101011101000010000010000000010</v>
      </c>
      <c r="AN21" s="38"/>
      <c r="AO21" s="28" t="s">
        <v>156</v>
      </c>
      <c r="AP21" s="28" t="s">
        <v>143</v>
      </c>
      <c r="AQ21" s="28" t="s">
        <v>146</v>
      </c>
      <c r="AR21" s="28" t="s">
        <v>147</v>
      </c>
      <c r="AS21" s="28" t="s">
        <v>144</v>
      </c>
    </row>
    <row r="22" spans="2:45">
      <c r="B22" s="28" t="s">
        <v>269</v>
      </c>
      <c r="C22" s="47">
        <v>1</v>
      </c>
      <c r="D22" s="48">
        <v>1</v>
      </c>
      <c r="E22" s="48">
        <v>1</v>
      </c>
      <c r="F22" s="9">
        <v>0</v>
      </c>
      <c r="G22" s="48">
        <v>1</v>
      </c>
      <c r="H22" s="48">
        <v>0</v>
      </c>
      <c r="I22" s="48">
        <v>1</v>
      </c>
      <c r="J22" s="51">
        <v>0</v>
      </c>
      <c r="K22" s="57">
        <v>0</v>
      </c>
      <c r="L22" s="58">
        <v>1</v>
      </c>
      <c r="M22" s="58">
        <v>0</v>
      </c>
      <c r="N22" s="9">
        <v>0</v>
      </c>
      <c r="O22" s="59">
        <v>0</v>
      </c>
      <c r="P22" s="59">
        <v>0</v>
      </c>
      <c r="Q22" s="59">
        <v>1</v>
      </c>
      <c r="R22" s="60">
        <v>0</v>
      </c>
      <c r="S22" s="55">
        <v>0</v>
      </c>
      <c r="T22" s="9">
        <v>0</v>
      </c>
      <c r="U22" s="9">
        <v>0</v>
      </c>
      <c r="V22" s="9">
        <v>0</v>
      </c>
      <c r="W22" s="63">
        <v>0</v>
      </c>
      <c r="X22" s="63">
        <v>1</v>
      </c>
      <c r="Y22" s="63">
        <v>0</v>
      </c>
      <c r="Z22" s="64">
        <v>0</v>
      </c>
      <c r="AA22" s="55">
        <v>0</v>
      </c>
      <c r="AB22" s="9">
        <v>0</v>
      </c>
      <c r="AC22" s="9">
        <v>0</v>
      </c>
      <c r="AD22" s="9">
        <v>0</v>
      </c>
      <c r="AE22" s="67">
        <v>0</v>
      </c>
      <c r="AF22" s="67">
        <v>0</v>
      </c>
      <c r="AG22" s="67">
        <v>0</v>
      </c>
      <c r="AH22" s="68">
        <v>1</v>
      </c>
      <c r="AJ22" s="28" t="s">
        <v>269</v>
      </c>
      <c r="AK22" s="98" t="str">
        <f t="shared" si="1"/>
        <v>11101010010000100000010000000001</v>
      </c>
      <c r="AN22" s="38"/>
      <c r="AO22" s="28" t="s">
        <v>157</v>
      </c>
      <c r="AP22" s="28" t="s">
        <v>146</v>
      </c>
      <c r="AQ22" s="28" t="s">
        <v>143</v>
      </c>
      <c r="AR22" s="28" t="s">
        <v>142</v>
      </c>
      <c r="AS22" s="28" t="s">
        <v>144</v>
      </c>
    </row>
    <row r="23" spans="2:45" ht="15" customHeight="1">
      <c r="B23" s="28" t="s">
        <v>271</v>
      </c>
      <c r="C23" s="47">
        <v>1</v>
      </c>
      <c r="D23" s="48">
        <v>1</v>
      </c>
      <c r="E23" s="48">
        <v>1</v>
      </c>
      <c r="F23" s="9">
        <v>0</v>
      </c>
      <c r="G23" s="48">
        <v>1</v>
      </c>
      <c r="H23" s="48">
        <v>0</v>
      </c>
      <c r="I23" s="48">
        <v>1</v>
      </c>
      <c r="J23" s="51">
        <v>1</v>
      </c>
      <c r="K23" s="57">
        <v>1</v>
      </c>
      <c r="L23" s="58">
        <v>0</v>
      </c>
      <c r="M23" s="58">
        <v>1</v>
      </c>
      <c r="N23" s="9">
        <v>1</v>
      </c>
      <c r="O23" s="59">
        <v>0</v>
      </c>
      <c r="P23" s="59">
        <v>1</v>
      </c>
      <c r="Q23" s="59">
        <v>0</v>
      </c>
      <c r="R23" s="60">
        <v>1</v>
      </c>
      <c r="S23" s="55">
        <v>0</v>
      </c>
      <c r="T23" s="9">
        <v>0</v>
      </c>
      <c r="U23" s="9">
        <v>0</v>
      </c>
      <c r="V23" s="9">
        <v>0</v>
      </c>
      <c r="W23" s="63">
        <v>1</v>
      </c>
      <c r="X23" s="63">
        <v>1</v>
      </c>
      <c r="Y23" s="63">
        <v>1</v>
      </c>
      <c r="Z23" s="64">
        <v>1</v>
      </c>
      <c r="AA23" s="55">
        <v>0</v>
      </c>
      <c r="AB23" s="9">
        <v>0</v>
      </c>
      <c r="AC23" s="9">
        <v>0</v>
      </c>
      <c r="AD23" s="9">
        <v>0</v>
      </c>
      <c r="AE23" s="67">
        <v>0</v>
      </c>
      <c r="AF23" s="67">
        <v>0</v>
      </c>
      <c r="AG23" s="67">
        <v>1</v>
      </c>
      <c r="AH23" s="68">
        <v>1</v>
      </c>
      <c r="AJ23" s="28" t="s">
        <v>271</v>
      </c>
      <c r="AK23" s="98" t="str">
        <f t="shared" si="1"/>
        <v>11101011101101010000111100000011</v>
      </c>
      <c r="AN23" s="38" t="s">
        <v>180</v>
      </c>
      <c r="AO23" s="28" t="s">
        <v>158</v>
      </c>
      <c r="AP23" s="28" t="s">
        <v>144</v>
      </c>
      <c r="AQ23" s="28" t="s">
        <v>144</v>
      </c>
      <c r="AR23" s="28" t="s">
        <v>144</v>
      </c>
      <c r="AS23" s="28" t="s">
        <v>159</v>
      </c>
    </row>
    <row r="24" spans="2:45">
      <c r="B24" t="s">
        <v>270</v>
      </c>
      <c r="C24" s="47">
        <v>1</v>
      </c>
      <c r="D24" s="48">
        <v>1</v>
      </c>
      <c r="E24" s="48">
        <v>1</v>
      </c>
      <c r="F24" s="48">
        <v>1</v>
      </c>
      <c r="G24" s="48">
        <v>0</v>
      </c>
      <c r="H24" s="9">
        <v>1</v>
      </c>
      <c r="I24" s="49">
        <v>1</v>
      </c>
      <c r="J24" s="56">
        <v>1</v>
      </c>
      <c r="K24" s="66">
        <v>1</v>
      </c>
      <c r="L24" s="49">
        <v>1</v>
      </c>
      <c r="M24" s="49">
        <v>1</v>
      </c>
      <c r="N24" s="49">
        <v>1</v>
      </c>
      <c r="O24" s="49">
        <v>1</v>
      </c>
      <c r="P24" s="49">
        <v>1</v>
      </c>
      <c r="Q24" s="49">
        <v>1</v>
      </c>
      <c r="R24" s="56">
        <v>1</v>
      </c>
      <c r="S24" s="47">
        <v>1</v>
      </c>
      <c r="T24" s="9">
        <v>0</v>
      </c>
      <c r="U24" s="49">
        <v>1</v>
      </c>
      <c r="V24" s="9">
        <v>1</v>
      </c>
      <c r="W24" s="49">
        <v>1</v>
      </c>
      <c r="X24" s="49">
        <v>1</v>
      </c>
      <c r="Y24" s="49">
        <v>1</v>
      </c>
      <c r="Z24" s="56">
        <v>1</v>
      </c>
      <c r="AA24" s="66">
        <v>1</v>
      </c>
      <c r="AB24" s="49">
        <v>1</v>
      </c>
      <c r="AC24" s="49">
        <v>1</v>
      </c>
      <c r="AD24" s="49">
        <v>1</v>
      </c>
      <c r="AE24" s="49">
        <v>0</v>
      </c>
      <c r="AF24" s="49">
        <v>1</v>
      </c>
      <c r="AG24" s="49">
        <v>0</v>
      </c>
      <c r="AH24" s="56">
        <v>0</v>
      </c>
      <c r="AJ24" t="s">
        <v>270</v>
      </c>
      <c r="AK24" s="98" t="str">
        <f t="shared" si="1"/>
        <v>11110111111111111011111111110100</v>
      </c>
      <c r="AN24" s="28"/>
      <c r="AO24" s="28" t="s">
        <v>135</v>
      </c>
      <c r="AP24" s="28" t="s">
        <v>144</v>
      </c>
      <c r="AQ24" s="28" t="s">
        <v>144</v>
      </c>
      <c r="AR24" s="28" t="s">
        <v>144</v>
      </c>
      <c r="AS24" s="28" t="s">
        <v>144</v>
      </c>
    </row>
    <row r="25" spans="2:45">
      <c r="B25" s="28" t="s">
        <v>179</v>
      </c>
      <c r="C25" s="55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15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15">
        <v>0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15">
        <v>0</v>
      </c>
      <c r="AA25" s="9">
        <v>0</v>
      </c>
      <c r="AB25" s="9">
        <v>0</v>
      </c>
      <c r="AC25" s="9">
        <v>0</v>
      </c>
      <c r="AD25" s="9">
        <v>0</v>
      </c>
      <c r="AE25" s="9">
        <v>0</v>
      </c>
      <c r="AF25" s="9">
        <v>0</v>
      </c>
      <c r="AG25" s="9">
        <v>0</v>
      </c>
      <c r="AH25" s="15">
        <v>0</v>
      </c>
      <c r="AJ25" s="28" t="s">
        <v>179</v>
      </c>
      <c r="AK25" s="98" t="str">
        <f t="shared" si="1"/>
        <v>00000000000000000000000000000000</v>
      </c>
    </row>
    <row r="26" spans="2:45">
      <c r="B26" s="28" t="s">
        <v>179</v>
      </c>
      <c r="C26" s="55">
        <v>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15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15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15">
        <v>0</v>
      </c>
      <c r="AA26" s="9">
        <v>0</v>
      </c>
      <c r="AB26" s="9">
        <v>0</v>
      </c>
      <c r="AC26" s="9">
        <v>0</v>
      </c>
      <c r="AD26" s="9">
        <v>0</v>
      </c>
      <c r="AE26" s="9">
        <v>0</v>
      </c>
      <c r="AF26" s="9">
        <v>0</v>
      </c>
      <c r="AG26" s="9">
        <v>0</v>
      </c>
      <c r="AH26" s="15">
        <v>0</v>
      </c>
      <c r="AJ26" s="28" t="s">
        <v>179</v>
      </c>
      <c r="AK26" s="98" t="str">
        <f t="shared" si="1"/>
        <v>00000000000000000000000000000000</v>
      </c>
      <c r="AN26" s="28"/>
      <c r="AO26" s="28"/>
      <c r="AP26" s="96" t="s">
        <v>181</v>
      </c>
      <c r="AQ26" s="96"/>
      <c r="AR26" s="96"/>
      <c r="AS26" s="96"/>
    </row>
    <row r="27" spans="2:45">
      <c r="B27" s="28" t="s">
        <v>179</v>
      </c>
      <c r="C27" s="55">
        <v>0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15">
        <v>0</v>
      </c>
      <c r="K27" s="9">
        <v>0</v>
      </c>
      <c r="L27" s="9">
        <v>0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15">
        <v>0</v>
      </c>
      <c r="S27" s="9">
        <v>0</v>
      </c>
      <c r="T27" s="9">
        <v>0</v>
      </c>
      <c r="U27" s="9">
        <v>0</v>
      </c>
      <c r="V27" s="9">
        <v>0</v>
      </c>
      <c r="W27" s="9">
        <v>0</v>
      </c>
      <c r="X27" s="9">
        <v>0</v>
      </c>
      <c r="Y27" s="9">
        <v>0</v>
      </c>
      <c r="Z27" s="15">
        <v>0</v>
      </c>
      <c r="AA27" s="9">
        <v>0</v>
      </c>
      <c r="AB27" s="9">
        <v>0</v>
      </c>
      <c r="AC27" s="9">
        <v>0</v>
      </c>
      <c r="AD27" s="9">
        <v>0</v>
      </c>
      <c r="AE27" s="9">
        <v>0</v>
      </c>
      <c r="AF27" s="9">
        <v>0</v>
      </c>
      <c r="AG27" s="9">
        <v>0</v>
      </c>
      <c r="AH27" s="15">
        <v>0</v>
      </c>
      <c r="AJ27" s="28" t="s">
        <v>179</v>
      </c>
      <c r="AK27" s="98" t="str">
        <f t="shared" si="1"/>
        <v>00000000000000000000000000000000</v>
      </c>
      <c r="AN27" s="28"/>
      <c r="AO27" s="28" t="s">
        <v>134</v>
      </c>
      <c r="AP27" s="28"/>
      <c r="AQ27" s="28"/>
      <c r="AR27" s="28"/>
      <c r="AS27" s="28"/>
    </row>
    <row r="28" spans="2:45" ht="15.75" thickBot="1">
      <c r="B28" s="28" t="s">
        <v>179</v>
      </c>
      <c r="C28" s="97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6">
        <v>0</v>
      </c>
      <c r="K28" s="97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6">
        <v>0</v>
      </c>
      <c r="S28" s="97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  <c r="Y28" s="13">
        <v>0</v>
      </c>
      <c r="Z28" s="16">
        <v>0</v>
      </c>
      <c r="AA28" s="97">
        <v>0</v>
      </c>
      <c r="AB28" s="13">
        <v>0</v>
      </c>
      <c r="AC28" s="13">
        <v>0</v>
      </c>
      <c r="AD28" s="13">
        <v>0</v>
      </c>
      <c r="AE28" s="13">
        <v>0</v>
      </c>
      <c r="AF28" s="13">
        <v>0</v>
      </c>
      <c r="AG28" s="13">
        <v>0</v>
      </c>
      <c r="AH28" s="16">
        <v>0</v>
      </c>
      <c r="AJ28" s="28" t="s">
        <v>179</v>
      </c>
      <c r="AK28" s="98" t="str">
        <f t="shared" si="1"/>
        <v>00000000000000000000000000000000</v>
      </c>
      <c r="AN28" s="95" t="s">
        <v>152</v>
      </c>
      <c r="AO28" s="28" t="s">
        <v>150</v>
      </c>
      <c r="AP28" s="28"/>
      <c r="AQ28" s="28"/>
      <c r="AR28" s="28"/>
      <c r="AS28" s="28"/>
    </row>
    <row r="29" spans="2:45">
      <c r="AN29" s="95"/>
      <c r="AO29" s="28" t="s">
        <v>151</v>
      </c>
      <c r="AP29" s="28"/>
      <c r="AQ29" s="28"/>
      <c r="AR29" s="28"/>
      <c r="AS29" s="28"/>
    </row>
    <row r="30" spans="2:45">
      <c r="AK30" s="98"/>
      <c r="AN30" s="95" t="s">
        <v>153</v>
      </c>
      <c r="AO30" s="28" t="s">
        <v>154</v>
      </c>
      <c r="AP30" s="28"/>
      <c r="AQ30" s="28"/>
      <c r="AR30" s="28"/>
      <c r="AS30" s="28"/>
    </row>
    <row r="31" spans="2:45">
      <c r="AK31" s="98"/>
      <c r="AN31" s="95"/>
      <c r="AO31" s="28" t="s">
        <v>155</v>
      </c>
      <c r="AP31" s="28"/>
      <c r="AQ31" s="28"/>
      <c r="AR31" s="28"/>
      <c r="AS31" s="28"/>
    </row>
    <row r="32" spans="2:45">
      <c r="AK32" s="98"/>
      <c r="AN32" s="38"/>
      <c r="AO32" s="28" t="s">
        <v>156</v>
      </c>
      <c r="AP32" s="28"/>
      <c r="AQ32" s="28"/>
      <c r="AR32" s="28"/>
      <c r="AS32" s="28"/>
    </row>
    <row r="33" spans="37:45">
      <c r="AK33" s="98"/>
      <c r="AN33" s="38"/>
      <c r="AO33" s="28" t="s">
        <v>157</v>
      </c>
      <c r="AP33" s="28"/>
      <c r="AQ33" s="28"/>
      <c r="AR33" s="28"/>
      <c r="AS33" s="28"/>
    </row>
    <row r="34" spans="37:45" ht="14.25" customHeight="1">
      <c r="AK34" s="98"/>
      <c r="AN34" s="38" t="s">
        <v>180</v>
      </c>
      <c r="AO34" s="28" t="s">
        <v>158</v>
      </c>
      <c r="AP34" s="28"/>
      <c r="AQ34" s="28"/>
      <c r="AR34" s="28"/>
      <c r="AS34" s="28"/>
    </row>
    <row r="35" spans="37:45">
      <c r="AK35" s="98"/>
      <c r="AN35" s="28"/>
      <c r="AO35" s="28" t="s">
        <v>135</v>
      </c>
      <c r="AP35" s="28"/>
      <c r="AQ35" s="28"/>
      <c r="AR35" s="28"/>
      <c r="AS35" s="28"/>
    </row>
    <row r="36" spans="37:45">
      <c r="AK36" s="98"/>
    </row>
    <row r="37" spans="37:45">
      <c r="AK37" s="98"/>
    </row>
    <row r="38" spans="37:45">
      <c r="AK38" s="98"/>
    </row>
    <row r="39" spans="37:45">
      <c r="AK39" s="98"/>
    </row>
  </sheetData>
  <mergeCells count="6">
    <mergeCell ref="AN30:AN31"/>
    <mergeCell ref="AN28:AN29"/>
    <mergeCell ref="AP15:AS15"/>
    <mergeCell ref="AP26:AS26"/>
    <mergeCell ref="AN17:AN18"/>
    <mergeCell ref="AN19:AN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Instrucciones</vt:lpstr>
      <vt:lpstr>Data processing (Immediate)</vt:lpstr>
      <vt:lpstr>Data processing (Non-Immediate)</vt:lpstr>
      <vt:lpstr>Load and store single data</vt:lpstr>
      <vt:lpstr>Branches</vt:lpstr>
      <vt:lpstr>Programa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Andy</cp:lastModifiedBy>
  <dcterms:created xsi:type="dcterms:W3CDTF">2014-12-05T09:54:40Z</dcterms:created>
  <dcterms:modified xsi:type="dcterms:W3CDTF">2015-02-05T09:46:22Z</dcterms:modified>
</cp:coreProperties>
</file>